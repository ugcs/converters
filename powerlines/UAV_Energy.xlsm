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285" windowWidth="14805" windowHeight="7560" tabRatio="804"/>
  </bookViews>
  <sheets>
    <sheet name="Main" sheetId="6" r:id="rId1"/>
    <sheet name="PowerLine Base (EU)" sheetId="1" r:id="rId2"/>
    <sheet name="PowerLine Base (RU)" sheetId="9" r:id="rId3"/>
    <sheet name="Permissible distance" sheetId="3" r:id="rId4"/>
    <sheet name="Fenced off area" sheetId="5" r:id="rId5"/>
    <sheet name="Camera" sheetId="10" r:id="rId6"/>
    <sheet name="Input format" sheetId="12" r:id="rId7"/>
    <sheet name="GIS" sheetId="7" r:id="rId8"/>
    <sheet name="Aerophotography" sheetId="8" r:id="rId9"/>
  </sheets>
  <functionGroups builtInGroupCount="18"/>
  <calcPr calcId="152511"/>
</workbook>
</file>

<file path=xl/calcChain.xml><?xml version="1.0" encoding="utf-8"?>
<calcChain xmlns="http://schemas.openxmlformats.org/spreadsheetml/2006/main">
  <c r="AY3" i="7" l="1"/>
  <c r="AY4" i="7"/>
  <c r="AY5" i="7"/>
  <c r="AY6" i="7"/>
  <c r="AY7" i="7"/>
  <c r="AY8" i="7"/>
  <c r="AY2" i="7"/>
  <c r="AX3" i="7"/>
  <c r="AX4" i="7"/>
  <c r="AX5" i="7"/>
  <c r="AX6" i="7"/>
  <c r="AX7" i="7"/>
  <c r="AX8" i="7"/>
  <c r="AX2" i="7"/>
  <c r="AW3" i="7"/>
  <c r="AW4" i="7"/>
  <c r="AW5" i="7"/>
  <c r="AW6" i="7"/>
  <c r="AW7" i="7"/>
  <c r="AW8" i="7"/>
  <c r="AW2" i="7"/>
  <c r="AV3" i="7"/>
  <c r="AV4" i="7"/>
  <c r="AV5" i="7"/>
  <c r="AV6" i="7"/>
  <c r="AV7" i="7"/>
  <c r="AV8" i="7"/>
  <c r="AV2" i="7"/>
  <c r="AU3" i="7"/>
  <c r="AU4" i="7"/>
  <c r="AU5" i="7"/>
  <c r="AU6" i="7"/>
  <c r="AU7" i="7"/>
  <c r="AU8" i="7"/>
  <c r="AU2" i="7"/>
  <c r="AT3" i="7"/>
  <c r="AT4" i="7"/>
  <c r="AT5" i="7"/>
  <c r="AT6" i="7"/>
  <c r="AT7" i="7"/>
  <c r="AT8" i="7"/>
  <c r="AT2" i="7"/>
  <c r="AS3" i="7"/>
  <c r="AS4" i="7"/>
  <c r="AS5" i="7"/>
  <c r="AS6" i="7"/>
  <c r="AS7" i="7"/>
  <c r="AS8" i="7"/>
  <c r="AS2" i="7"/>
  <c r="AR3" i="7"/>
  <c r="AR4" i="7"/>
  <c r="AR5" i="7"/>
  <c r="AR6" i="7"/>
  <c r="AR7" i="7"/>
  <c r="AR8" i="7"/>
  <c r="AR2" i="7"/>
  <c r="AQ3" i="7"/>
  <c r="AQ4" i="7"/>
  <c r="AQ5" i="7"/>
  <c r="AQ6" i="7"/>
  <c r="AQ7" i="7"/>
  <c r="AQ8" i="7"/>
  <c r="AQ2" i="7"/>
  <c r="AP3" i="7"/>
  <c r="AP4" i="7"/>
  <c r="AP5" i="7"/>
  <c r="AP6" i="7"/>
  <c r="AP7" i="7"/>
  <c r="AP8" i="7"/>
  <c r="AP2" i="7"/>
  <c r="AO3" i="7"/>
  <c r="AO4" i="7"/>
  <c r="AO5" i="7"/>
  <c r="AO6" i="7"/>
  <c r="AO7" i="7"/>
  <c r="AO8" i="7"/>
  <c r="AO2" i="7"/>
  <c r="AN3" i="7"/>
  <c r="AN4" i="7"/>
  <c r="AN5" i="7"/>
  <c r="AN6" i="7"/>
  <c r="AN7" i="7"/>
  <c r="AN8" i="7"/>
  <c r="AN2" i="7"/>
  <c r="AM3" i="7"/>
  <c r="AM4" i="7"/>
  <c r="AM5" i="7"/>
  <c r="AM6" i="7"/>
  <c r="AM7" i="7"/>
  <c r="AM8" i="7"/>
  <c r="AM2" i="7"/>
  <c r="AL3" i="7"/>
  <c r="AL4" i="7"/>
  <c r="AL5" i="7"/>
  <c r="AL6" i="7"/>
  <c r="AL7" i="7"/>
  <c r="AL8" i="7"/>
  <c r="AL2" i="7"/>
  <c r="AI3" i="7"/>
  <c r="AI4" i="7"/>
  <c r="AI5" i="7"/>
  <c r="AI6" i="7"/>
  <c r="AI7" i="7"/>
  <c r="AI8" i="7"/>
  <c r="AI2" i="7"/>
  <c r="AH3" i="7"/>
  <c r="AH4" i="7"/>
  <c r="AH5" i="7"/>
  <c r="AH6" i="7"/>
  <c r="AH7" i="7"/>
  <c r="AH8" i="7"/>
  <c r="AH2" i="7"/>
  <c r="AG3" i="7"/>
  <c r="AG4" i="7"/>
  <c r="AG5" i="7"/>
  <c r="AG6" i="7"/>
  <c r="AG7" i="7"/>
  <c r="AG8" i="7"/>
  <c r="AG2" i="7"/>
  <c r="AF3" i="7"/>
  <c r="AF4" i="7"/>
  <c r="AF5" i="7"/>
  <c r="AF6" i="7"/>
  <c r="AF7" i="7"/>
  <c r="AF8" i="7"/>
  <c r="AF2" i="7"/>
  <c r="AE3" i="7"/>
  <c r="AE4" i="7"/>
  <c r="AE5" i="7"/>
  <c r="AE6" i="7"/>
  <c r="AE7" i="7"/>
  <c r="AE8" i="7"/>
  <c r="AE2" i="7"/>
  <c r="AD3" i="7"/>
  <c r="AD4" i="7"/>
  <c r="AD5" i="7"/>
  <c r="AD6" i="7"/>
  <c r="AD7" i="7"/>
  <c r="AD8" i="7"/>
  <c r="AD2" i="7"/>
  <c r="AC3" i="7"/>
  <c r="AC4" i="7"/>
  <c r="AC5" i="7"/>
  <c r="AC6" i="7"/>
  <c r="AC7" i="7"/>
  <c r="AC8" i="7"/>
  <c r="AC2" i="7"/>
  <c r="AB3" i="7"/>
  <c r="AB4" i="7"/>
  <c r="AB5" i="7"/>
  <c r="AB6" i="7"/>
  <c r="AB7" i="7"/>
  <c r="AB8" i="7"/>
  <c r="AB2" i="7"/>
  <c r="AA3" i="7"/>
  <c r="AA4" i="7"/>
  <c r="AA5" i="7"/>
  <c r="AA6" i="7"/>
  <c r="AA7" i="7"/>
  <c r="AA8" i="7"/>
  <c r="AA2" i="7"/>
  <c r="C2" i="5" l="1"/>
  <c r="D3" i="1" l="1"/>
  <c r="D2" i="3"/>
  <c r="D5" i="1"/>
  <c r="D3" i="3" l="1"/>
  <c r="D4" i="3"/>
  <c r="D5" i="3"/>
  <c r="D6" i="3"/>
  <c r="D7" i="3"/>
  <c r="D8" i="3"/>
  <c r="D9" i="3"/>
  <c r="C4" i="5" l="1"/>
  <c r="C5" i="5"/>
  <c r="C6" i="5"/>
  <c r="C7" i="5"/>
  <c r="C8" i="5"/>
  <c r="C9" i="5"/>
  <c r="C3" i="5"/>
  <c r="D22" i="1" l="1"/>
  <c r="D20" i="1"/>
  <c r="D9" i="1"/>
  <c r="D23" i="1" l="1"/>
  <c r="D21" i="1"/>
  <c r="D17" i="1"/>
  <c r="D16" i="1"/>
</calcChain>
</file>

<file path=xl/sharedStrings.xml><?xml version="1.0" encoding="utf-8"?>
<sst xmlns="http://schemas.openxmlformats.org/spreadsheetml/2006/main" count="304" uniqueCount="173">
  <si>
    <t>Range</t>
  </si>
  <si>
    <t>From transmission tower №</t>
  </si>
  <si>
    <t>To transmission tower №</t>
  </si>
  <si>
    <t>Flight mode</t>
  </si>
  <si>
    <t>Export format</t>
  </si>
  <si>
    <t>Voltage, kV</t>
  </si>
  <si>
    <t>Voltage class, kV</t>
  </si>
  <si>
    <t>Tower type</t>
  </si>
  <si>
    <t>Tower model</t>
  </si>
  <si>
    <t>Tower height, m</t>
  </si>
  <si>
    <t>In total</t>
  </si>
  <si>
    <t>Permitted distances from unmanned aerial vehicle to conductive parts</t>
  </si>
  <si>
    <t>Tower number (name)</t>
  </si>
  <si>
    <t>Longitude</t>
  </si>
  <si>
    <t>Latitude</t>
  </si>
  <si>
    <t>Tower height</t>
  </si>
  <si>
    <t>Height</t>
  </si>
  <si>
    <t>Lon delta, d</t>
  </si>
  <si>
    <t>Lat delta, d</t>
  </si>
  <si>
    <t>Lon delta, m</t>
  </si>
  <si>
    <t>Lat delta, m</t>
  </si>
  <si>
    <t>Rhumb</t>
  </si>
  <si>
    <t>Rhumb quarter</t>
  </si>
  <si>
    <t>Directional angle from tower(n-1) to tower(n)</t>
  </si>
  <si>
    <t>Span length to previous tower,m</t>
  </si>
  <si>
    <t>Track rotation angle, d</t>
  </si>
  <si>
    <t>Path delta for swivel tower, m</t>
  </si>
  <si>
    <t>Distance to flight point, m</t>
  </si>
  <si>
    <t>Directional angle from tower to flight point</t>
  </si>
  <si>
    <t>Lat delta from tower to flight point, m</t>
  </si>
  <si>
    <t>Lon delta from tower to flight point, m</t>
  </si>
  <si>
    <t>Lat delta from tower to flight point, d</t>
  </si>
  <si>
    <t>Flight point lat, d</t>
  </si>
  <si>
    <t>Lon delta from tower to flight point, d</t>
  </si>
  <si>
    <t>Flight point lon, d</t>
  </si>
  <si>
    <t>Directional angle from tower to flight point, return</t>
  </si>
  <si>
    <t>Lat delta from tower to flight point, m, return</t>
  </si>
  <si>
    <t>Lon delta from tower to flight point, m, return</t>
  </si>
  <si>
    <t>Lat delta from tower to flight point, d, return</t>
  </si>
  <si>
    <t>Flight point lat, d, return</t>
  </si>
  <si>
    <t>Lon delta from tower to flight point, d, return</t>
  </si>
  <si>
    <t>Flight point lon, d, return</t>
  </si>
  <si>
    <t>wooden</t>
  </si>
  <si>
    <t>steel</t>
  </si>
  <si>
    <t>reinforced concrete</t>
  </si>
  <si>
    <t>tall</t>
  </si>
  <si>
    <t>low</t>
  </si>
  <si>
    <t>Fenced off area  of  overhead power transmission line, m</t>
  </si>
  <si>
    <t>Platform</t>
  </si>
  <si>
    <t>д</t>
  </si>
  <si>
    <t>П10-1Б</t>
  </si>
  <si>
    <t>П20-1Б</t>
  </si>
  <si>
    <t>УЛ10-1Б</t>
  </si>
  <si>
    <t>П10-7ДБ</t>
  </si>
  <si>
    <t>П20-7ДБ</t>
  </si>
  <si>
    <t>ОЛ10-3 ДБ</t>
  </si>
  <si>
    <t>ОЛ20-3 ДБ</t>
  </si>
  <si>
    <t>Стальная</t>
  </si>
  <si>
    <t>П35-1</t>
  </si>
  <si>
    <t>У35-2+5</t>
  </si>
  <si>
    <t>У35-1+5</t>
  </si>
  <si>
    <t>ж/б</t>
  </si>
  <si>
    <t>ПБ35-1</t>
  </si>
  <si>
    <t>ПБ35-3</t>
  </si>
  <si>
    <t>ПБ35-2</t>
  </si>
  <si>
    <t>ПБ35-4</t>
  </si>
  <si>
    <t>УБ35-11</t>
  </si>
  <si>
    <t>П110-3</t>
  </si>
  <si>
    <t>П110-5</t>
  </si>
  <si>
    <t>П110-7</t>
  </si>
  <si>
    <t>П110-4</t>
  </si>
  <si>
    <t>П110-6</t>
  </si>
  <si>
    <t>У110-4</t>
  </si>
  <si>
    <t>У110-2+9</t>
  </si>
  <si>
    <t>У110-1+9</t>
  </si>
  <si>
    <t>ПБ110-1</t>
  </si>
  <si>
    <t>ПБ110-5</t>
  </si>
  <si>
    <t>ПБ110-2</t>
  </si>
  <si>
    <t>ПБ110-4</t>
  </si>
  <si>
    <t>ПБ110-6</t>
  </si>
  <si>
    <t>ПБ110-8</t>
  </si>
  <si>
    <t>УБ110-1</t>
  </si>
  <si>
    <t>УБ110-23</t>
  </si>
  <si>
    <t>УБ110-25</t>
  </si>
  <si>
    <t>П220-2</t>
  </si>
  <si>
    <t>У220-1+9</t>
  </si>
  <si>
    <t>П220-1</t>
  </si>
  <si>
    <t>П220-3</t>
  </si>
  <si>
    <t>У220-2+9</t>
  </si>
  <si>
    <t>N/A</t>
  </si>
  <si>
    <t>ПБ220-1</t>
  </si>
  <si>
    <t>ПСБ220-1</t>
  </si>
  <si>
    <t>ПБ220-4</t>
  </si>
  <si>
    <t>ПБ220-12</t>
  </si>
  <si>
    <t>УБ220-3</t>
  </si>
  <si>
    <t>УСБ220-1</t>
  </si>
  <si>
    <t>УСБ220-7</t>
  </si>
  <si>
    <t>П330-3</t>
  </si>
  <si>
    <t>П330-2</t>
  </si>
  <si>
    <t>У330-1+14</t>
  </si>
  <si>
    <t>У330-2+14</t>
  </si>
  <si>
    <t>ПВС330</t>
  </si>
  <si>
    <t>ПБ330-711</t>
  </si>
  <si>
    <t>ПБ330-4</t>
  </si>
  <si>
    <t>УБ330-5</t>
  </si>
  <si>
    <t>ПБ500-5Н</t>
  </si>
  <si>
    <t>ПБ500-7Н</t>
  </si>
  <si>
    <t>УБ500-1</t>
  </si>
  <si>
    <t>ПБ-2</t>
  </si>
  <si>
    <t>УБМ-22</t>
  </si>
  <si>
    <t>ПБК</t>
  </si>
  <si>
    <t>ПП 750-1</t>
  </si>
  <si>
    <t>The distance of overhead powerlines, m</t>
  </si>
  <si>
    <t>Region</t>
  </si>
  <si>
    <t>Altimeter error</t>
  </si>
  <si>
    <t>Sensor width, m</t>
  </si>
  <si>
    <t>Sensor height, m</t>
  </si>
  <si>
    <t>Canon 5D Mark II (50 mm)</t>
  </si>
  <si>
    <t>Canon 5D Mark II (24 mm)</t>
  </si>
  <si>
    <t>Canon 5D Mark III (50 mm)</t>
  </si>
  <si>
    <t>Canon 5D Mark III (24 mm)</t>
  </si>
  <si>
    <t>Canon A2300-A2400</t>
  </si>
  <si>
    <t>Canon ELPH 115-130 IS</t>
  </si>
  <si>
    <t>Canon ELPH 330HS</t>
  </si>
  <si>
    <t>Canon ELPH 520HS</t>
  </si>
  <si>
    <t>Canon S110-S120</t>
  </si>
  <si>
    <t>Canon SX230 HS</t>
  </si>
  <si>
    <t>Canon SX260-SX280</t>
  </si>
  <si>
    <t>Flir Tau 160 (7,5 mm)</t>
  </si>
  <si>
    <t>Flir Tau 320 (7,5 mm)</t>
  </si>
  <si>
    <t>Flir Tau 640 (7,5 mm)</t>
  </si>
  <si>
    <t>GoPro HD Hero</t>
  </si>
  <si>
    <t>GoPro Hero2</t>
  </si>
  <si>
    <t>GoPro Hero3 White Edition</t>
  </si>
  <si>
    <t>GoPro Hero3 Silver Edition</t>
  </si>
  <si>
    <t>GoPro Hero3 Black Edition</t>
  </si>
  <si>
    <t>GoPro Hero3+ Silver Edition</t>
  </si>
  <si>
    <t>GoPro Hero3+ Black Edition</t>
  </si>
  <si>
    <t>GoPro Hero</t>
  </si>
  <si>
    <t>GoPro Hero4 Silver Edition</t>
  </si>
  <si>
    <t>GoPro Hero4 Black Edition</t>
  </si>
  <si>
    <t>Nikon AW100</t>
  </si>
  <si>
    <t>Samsung NX1000</t>
  </si>
  <si>
    <t>Samsung s860</t>
  </si>
  <si>
    <t>Sony NEX-5 (16 mm)</t>
  </si>
  <si>
    <t>Sony NEX-5 (25 mm)</t>
  </si>
  <si>
    <t>Sony NEX-7 (16 mm)</t>
  </si>
  <si>
    <t>Panasonic GH2 (14 mm)</t>
  </si>
  <si>
    <t>Panasonic GH2 (20 mm)</t>
  </si>
  <si>
    <t>BMPCC (12 mm)</t>
  </si>
  <si>
    <t>Tetracam Mini-MCA</t>
  </si>
  <si>
    <t>Model</t>
  </si>
  <si>
    <t>Weight, kg</t>
  </si>
  <si>
    <t>Sensor horizontal resolution, px</t>
  </si>
  <si>
    <t>Sensor vertical resolution, px</t>
  </si>
  <si>
    <t>Camera</t>
  </si>
  <si>
    <t>Speed, m/s</t>
  </si>
  <si>
    <t>Minimum flight altitude</t>
  </si>
  <si>
    <t>Actual focal length, m</t>
  </si>
  <si>
    <t>Shooting interval, s</t>
  </si>
  <si>
    <t>Forward overlap, %</t>
  </si>
  <si>
    <t>Side overlap, %</t>
  </si>
  <si>
    <t>GSD, cm/pixel</t>
  </si>
  <si>
    <t>First data row</t>
  </si>
  <si>
    <t>Tower number (name) column</t>
  </si>
  <si>
    <t>Tower model column</t>
  </si>
  <si>
    <t>Tower longitude column</t>
  </si>
  <si>
    <t>Tower latitude column</t>
  </si>
  <si>
    <t>Format</t>
  </si>
  <si>
    <t>Full</t>
  </si>
  <si>
    <t>Simple</t>
  </si>
  <si>
    <t>Input GIS data format</t>
  </si>
  <si>
    <t>Flight altitude by GSD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</si>
</sst>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0" xfId="1"/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3" fillId="0" borderId="0" xfId="0" applyFont="1" applyBorder="1"/>
    <xf numFmtId="0" fontId="0" fillId="0" borderId="0" xfId="0" applyFill="1" applyBorder="1"/>
    <xf numFmtId="0" fontId="2" fillId="0" borderId="0" xfId="1" applyBorder="1"/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0" borderId="5" xfId="0" applyBorder="1"/>
    <xf numFmtId="0" fontId="0" fillId="0" borderId="5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 wrapText="1"/>
    </xf>
    <xf numFmtId="0" fontId="0" fillId="0" borderId="5" xfId="0" applyNumberFormat="1" applyBorder="1"/>
    <xf numFmtId="0" fontId="0" fillId="0" borderId="0" xfId="0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/>
    <xf numFmtId="0" fontId="4" fillId="0" borderId="5" xfId="0" applyFont="1" applyBorder="1"/>
    <xf numFmtId="165" fontId="2" fillId="0" borderId="0" xfId="1" applyNumberFormat="1"/>
    <xf numFmtId="0" fontId="3" fillId="0" borderId="6" xfId="1" applyFont="1" applyBorder="1" applyAlignment="1">
      <alignment horizontal="center" vertical="center" wrapText="1"/>
    </xf>
    <xf numFmtId="0" fontId="2" fillId="0" borderId="7" xfId="1" applyBorder="1"/>
    <xf numFmtId="165" fontId="0" fillId="0" borderId="7" xfId="0" applyNumberFormat="1" applyBorder="1"/>
    <xf numFmtId="0" fontId="0" fillId="0" borderId="7" xfId="0" applyBorder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7" xfId="1" applyFont="1" applyBorder="1" applyAlignment="1">
      <alignment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12.emf"/><Relationship Id="rId16" Type="http://schemas.openxmlformats.org/officeDocument/2006/relationships/image" Target="../media/image16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5" Type="http://schemas.openxmlformats.org/officeDocument/2006/relationships/image" Target="../media/image15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15</xdr:row>
          <xdr:rowOff>28575</xdr:rowOff>
        </xdr:from>
        <xdr:to>
          <xdr:col>4</xdr:col>
          <xdr:colOff>2143125</xdr:colOff>
          <xdr:row>16</xdr:row>
          <xdr:rowOff>66675</xdr:rowOff>
        </xdr:to>
        <xdr:sp macro="" textlink="">
          <xdr:nvSpPr>
            <xdr:cNvPr id="2050" name="btnGenerateFlightPla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2</xdr:col>
          <xdr:colOff>0</xdr:colOff>
          <xdr:row>9</xdr:row>
          <xdr:rowOff>257175</xdr:rowOff>
        </xdr:to>
        <xdr:sp macro="" textlink="">
          <xdr:nvSpPr>
            <xdr:cNvPr id="2053" name="cboFlightMode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971550</xdr:colOff>
          <xdr:row>15</xdr:row>
          <xdr:rowOff>28575</xdr:rowOff>
        </xdr:from>
        <xdr:to>
          <xdr:col>4</xdr:col>
          <xdr:colOff>571500</xdr:colOff>
          <xdr:row>16</xdr:row>
          <xdr:rowOff>66675</xdr:rowOff>
        </xdr:to>
        <xdr:sp macro="" textlink="">
          <xdr:nvSpPr>
            <xdr:cNvPr id="2056" name="btnLoadGISData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19050</xdr:rowOff>
        </xdr:from>
        <xdr:to>
          <xdr:col>2</xdr:col>
          <xdr:colOff>0</xdr:colOff>
          <xdr:row>11</xdr:row>
          <xdr:rowOff>257175</xdr:rowOff>
        </xdr:to>
        <xdr:sp macro="" textlink="">
          <xdr:nvSpPr>
            <xdr:cNvPr id="2057" name="cboExportFormat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2062" name="txtFirstTowerName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19050</xdr:rowOff>
        </xdr:from>
        <xdr:to>
          <xdr:col>2</xdr:col>
          <xdr:colOff>0</xdr:colOff>
          <xdr:row>5</xdr:row>
          <xdr:rowOff>257175</xdr:rowOff>
        </xdr:to>
        <xdr:sp macro="" textlink="">
          <xdr:nvSpPr>
            <xdr:cNvPr id="2063" name="txtLastTowerName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13</xdr:row>
          <xdr:rowOff>19050</xdr:rowOff>
        </xdr:from>
        <xdr:to>
          <xdr:col>2</xdr:col>
          <xdr:colOff>0</xdr:colOff>
          <xdr:row>13</xdr:row>
          <xdr:rowOff>257175</xdr:rowOff>
        </xdr:to>
        <xdr:sp macro="" textlink="">
          <xdr:nvSpPr>
            <xdr:cNvPr id="2065" name="cboPlatform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19050</xdr:rowOff>
        </xdr:from>
        <xdr:to>
          <xdr:col>2</xdr:col>
          <xdr:colOff>0</xdr:colOff>
          <xdr:row>7</xdr:row>
          <xdr:rowOff>257175</xdr:rowOff>
        </xdr:to>
        <xdr:sp macro="" textlink="">
          <xdr:nvSpPr>
            <xdr:cNvPr id="2066" name="cboLanguage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11</xdr:row>
          <xdr:rowOff>19050</xdr:rowOff>
        </xdr:from>
        <xdr:to>
          <xdr:col>5</xdr:col>
          <xdr:colOff>0</xdr:colOff>
          <xdr:row>11</xdr:row>
          <xdr:rowOff>257175</xdr:rowOff>
        </xdr:to>
        <xdr:sp macro="" textlink="">
          <xdr:nvSpPr>
            <xdr:cNvPr id="2067" name="txtSpeed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257175</xdr:rowOff>
        </xdr:to>
        <xdr:sp macro="" textlink="">
          <xdr:nvSpPr>
            <xdr:cNvPr id="2072" name="txtSidelap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0</xdr:colOff>
          <xdr:row>4</xdr:row>
          <xdr:rowOff>257175</xdr:rowOff>
        </xdr:to>
        <xdr:sp macro="" textlink="">
          <xdr:nvSpPr>
            <xdr:cNvPr id="2073" name="txtOverlap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19050</xdr:rowOff>
        </xdr:from>
        <xdr:to>
          <xdr:col>5</xdr:col>
          <xdr:colOff>0</xdr:colOff>
          <xdr:row>7</xdr:row>
          <xdr:rowOff>257175</xdr:rowOff>
        </xdr:to>
        <xdr:sp macro="" textlink="">
          <xdr:nvSpPr>
            <xdr:cNvPr id="2074" name="txtGSD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19050</xdr:rowOff>
        </xdr:from>
        <xdr:to>
          <xdr:col>5</xdr:col>
          <xdr:colOff>0</xdr:colOff>
          <xdr:row>13</xdr:row>
          <xdr:rowOff>257175</xdr:rowOff>
        </xdr:to>
        <xdr:sp macro="" textlink="">
          <xdr:nvSpPr>
            <xdr:cNvPr id="2075" name="txtShootingInterval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19050</xdr:rowOff>
        </xdr:from>
        <xdr:to>
          <xdr:col>2</xdr:col>
          <xdr:colOff>0</xdr:colOff>
          <xdr:row>1</xdr:row>
          <xdr:rowOff>257175</xdr:rowOff>
        </xdr:to>
        <xdr:sp macro="" textlink="">
          <xdr:nvSpPr>
            <xdr:cNvPr id="2076" name="cboInputFormat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9</xdr:row>
          <xdr:rowOff>19050</xdr:rowOff>
        </xdr:from>
        <xdr:to>
          <xdr:col>5</xdr:col>
          <xdr:colOff>0</xdr:colOff>
          <xdr:row>9</xdr:row>
          <xdr:rowOff>257175</xdr:rowOff>
        </xdr:to>
        <xdr:sp macro="" textlink="">
          <xdr:nvSpPr>
            <xdr:cNvPr id="2077" name="cboCamera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</xdr:row>
          <xdr:rowOff>19050</xdr:rowOff>
        </xdr:from>
        <xdr:to>
          <xdr:col>5</xdr:col>
          <xdr:colOff>0</xdr:colOff>
          <xdr:row>1</xdr:row>
          <xdr:rowOff>257175</xdr:rowOff>
        </xdr:to>
        <xdr:sp macro="" textlink="">
          <xdr:nvSpPr>
            <xdr:cNvPr id="2078" name="cboVoltage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4"/>
  <sheetViews>
    <sheetView tabSelected="1" workbookViewId="0">
      <selection activeCell="G2" sqref="G2"/>
    </sheetView>
  </sheetViews>
  <sheetFormatPr defaultRowHeight="15" x14ac:dyDescent="0.25"/>
  <cols>
    <col min="1" max="1" width="27.7109375" customWidth="1"/>
    <col min="2" max="2" width="32.42578125" customWidth="1"/>
    <col min="3" max="3" width="5.7109375" customWidth="1"/>
    <col min="4" max="4" width="28.5703125" customWidth="1"/>
    <col min="5" max="5" width="32.42578125" customWidth="1"/>
  </cols>
  <sheetData>
    <row r="1" spans="1:4" ht="15" customHeight="1" x14ac:dyDescent="0.25"/>
    <row r="2" spans="1:4" ht="21" customHeight="1" x14ac:dyDescent="0.25">
      <c r="A2" s="10" t="s">
        <v>171</v>
      </c>
      <c r="B2" s="13"/>
      <c r="D2" s="12" t="s">
        <v>5</v>
      </c>
    </row>
    <row r="3" spans="1:4" ht="15" customHeight="1" x14ac:dyDescent="0.25">
      <c r="B3" s="9"/>
    </row>
    <row r="4" spans="1:4" ht="15" customHeight="1" x14ac:dyDescent="0.25">
      <c r="A4" s="10" t="s">
        <v>0</v>
      </c>
      <c r="B4" s="9"/>
    </row>
    <row r="5" spans="1:4" ht="21" customHeight="1" x14ac:dyDescent="0.25">
      <c r="A5" s="12" t="s">
        <v>1</v>
      </c>
      <c r="B5" s="9"/>
      <c r="D5" s="10" t="s">
        <v>160</v>
      </c>
    </row>
    <row r="6" spans="1:4" ht="21" customHeight="1" x14ac:dyDescent="0.25">
      <c r="A6" s="12" t="s">
        <v>2</v>
      </c>
      <c r="B6" s="9"/>
      <c r="D6" s="10" t="s">
        <v>161</v>
      </c>
    </row>
    <row r="7" spans="1:4" ht="15" customHeight="1" x14ac:dyDescent="0.25">
      <c r="A7" s="9"/>
      <c r="B7" s="9"/>
    </row>
    <row r="8" spans="1:4" ht="21" customHeight="1" x14ac:dyDescent="0.25">
      <c r="A8" s="12" t="s">
        <v>113</v>
      </c>
      <c r="B8" s="9"/>
      <c r="D8" s="10" t="s">
        <v>162</v>
      </c>
    </row>
    <row r="9" spans="1:4" ht="15" customHeight="1" x14ac:dyDescent="0.25"/>
    <row r="10" spans="1:4" ht="21" customHeight="1" x14ac:dyDescent="0.25">
      <c r="A10" s="12" t="s">
        <v>3</v>
      </c>
      <c r="D10" s="10" t="s">
        <v>155</v>
      </c>
    </row>
    <row r="11" spans="1:4" ht="15" customHeight="1" x14ac:dyDescent="0.25">
      <c r="D11" s="10"/>
    </row>
    <row r="12" spans="1:4" ht="21" customHeight="1" x14ac:dyDescent="0.25">
      <c r="A12" s="10" t="s">
        <v>4</v>
      </c>
      <c r="D12" s="10" t="s">
        <v>156</v>
      </c>
    </row>
    <row r="13" spans="1:4" ht="15" customHeight="1" x14ac:dyDescent="0.25"/>
    <row r="14" spans="1:4" ht="21" customHeight="1" x14ac:dyDescent="0.25">
      <c r="A14" s="10" t="s">
        <v>48</v>
      </c>
      <c r="D14" s="10" t="s">
        <v>159</v>
      </c>
    </row>
    <row r="15" spans="1:4" ht="15" customHeight="1" x14ac:dyDescent="0.25"/>
    <row r="16" spans="1:4" ht="21" customHeight="1" x14ac:dyDescent="0.25"/>
    <row r="18" ht="21" customHeight="1" x14ac:dyDescent="0.25"/>
    <row r="20" ht="21" customHeight="1" x14ac:dyDescent="0.25"/>
    <row r="21" ht="15" customHeight="1" x14ac:dyDescent="0.25"/>
    <row r="22" ht="21" customHeight="1" x14ac:dyDescent="0.25"/>
    <row r="24" ht="15" customHeight="1" x14ac:dyDescent="0.25"/>
    <row r="25" ht="15" customHeight="1" x14ac:dyDescent="0.25"/>
    <row r="27" ht="15" customHeight="1" x14ac:dyDescent="0.25"/>
    <row r="32" ht="15" customHeight="1" x14ac:dyDescent="0.25"/>
    <row r="33" ht="15" customHeight="1" x14ac:dyDescent="0.25"/>
    <row r="34" ht="15" customHeight="1" x14ac:dyDescent="0.25"/>
  </sheetData>
  <dataConsolidate/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75" r:id="rId4" name="txtShootingInterval">
          <controlPr defaultSize="0" disabled="1" autoLine="0" r:id="rId5">
            <anchor moveWithCells="1">
              <from>
                <xdr:col>4</xdr:col>
                <xdr:colOff>19050</xdr:colOff>
                <xdr:row>13</xdr:row>
                <xdr:rowOff>19050</xdr:rowOff>
              </from>
              <to>
                <xdr:col>5</xdr:col>
                <xdr:colOff>0</xdr:colOff>
                <xdr:row>13</xdr:row>
                <xdr:rowOff>257175</xdr:rowOff>
              </to>
            </anchor>
          </controlPr>
        </control>
      </mc:Choice>
      <mc:Fallback>
        <control shapeId="2075" r:id="rId4" name="txtShootingInterval"/>
      </mc:Fallback>
    </mc:AlternateContent>
    <mc:AlternateContent xmlns:mc="http://schemas.openxmlformats.org/markup-compatibility/2006">
      <mc:Choice Requires="x14">
        <control shapeId="2074" r:id="rId6" name="txtGSD">
          <controlPr defaultSize="0" autoLine="0" r:id="rId7">
            <anchor moveWithCells="1">
              <from>
                <xdr:col>4</xdr:col>
                <xdr:colOff>19050</xdr:colOff>
                <xdr:row>7</xdr:row>
                <xdr:rowOff>19050</xdr:rowOff>
              </from>
              <to>
                <xdr:col>5</xdr:col>
                <xdr:colOff>0</xdr:colOff>
                <xdr:row>7</xdr:row>
                <xdr:rowOff>257175</xdr:rowOff>
              </to>
            </anchor>
          </controlPr>
        </control>
      </mc:Choice>
      <mc:Fallback>
        <control shapeId="2074" r:id="rId6" name="txtGSD"/>
      </mc:Fallback>
    </mc:AlternateContent>
    <mc:AlternateContent xmlns:mc="http://schemas.openxmlformats.org/markup-compatibility/2006">
      <mc:Choice Requires="x14">
        <control shapeId="2073" r:id="rId8" name="txtOverlap">
          <controlPr defaultSize="0" autoLine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2073" r:id="rId8" name="txtOverlap"/>
      </mc:Fallback>
    </mc:AlternateContent>
    <mc:AlternateContent xmlns:mc="http://schemas.openxmlformats.org/markup-compatibility/2006">
      <mc:Choice Requires="x14">
        <control shapeId="2072" r:id="rId10" name="txtSidelap">
          <controlPr defaultSize="0" autoLine="0" r:id="rId11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5</xdr:col>
                <xdr:colOff>0</xdr:colOff>
                <xdr:row>5</xdr:row>
                <xdr:rowOff>257175</xdr:rowOff>
              </to>
            </anchor>
          </controlPr>
        </control>
      </mc:Choice>
      <mc:Fallback>
        <control shapeId="2072" r:id="rId10" name="txtSidelap"/>
      </mc:Fallback>
    </mc:AlternateContent>
    <mc:AlternateContent xmlns:mc="http://schemas.openxmlformats.org/markup-compatibility/2006">
      <mc:Choice Requires="x14">
        <control shapeId="2067" r:id="rId12" name="txtSpeed">
          <controlPr defaultSize="0" autoLine="0" r:id="rId13">
            <anchor moveWithCells="1">
              <from>
                <xdr:col>4</xdr:col>
                <xdr:colOff>19050</xdr:colOff>
                <xdr:row>11</xdr:row>
                <xdr:rowOff>19050</xdr:rowOff>
              </from>
              <to>
                <xdr:col>5</xdr:col>
                <xdr:colOff>0</xdr:colOff>
                <xdr:row>11</xdr:row>
                <xdr:rowOff>257175</xdr:rowOff>
              </to>
            </anchor>
          </controlPr>
        </control>
      </mc:Choice>
      <mc:Fallback>
        <control shapeId="2067" r:id="rId12" name="txtSpeed"/>
      </mc:Fallback>
    </mc:AlternateContent>
    <mc:AlternateContent xmlns:mc="http://schemas.openxmlformats.org/markup-compatibility/2006">
      <mc:Choice Requires="x14">
        <control shapeId="2066" r:id="rId14" name="cboLanguage">
          <controlPr defaultSize="0" autoLine="0" r:id="rId15">
            <anchor moveWithCells="1">
              <from>
                <xdr:col>1</xdr:col>
                <xdr:colOff>19050</xdr:colOff>
                <xdr:row>7</xdr:row>
                <xdr:rowOff>19050</xdr:rowOff>
              </from>
              <to>
                <xdr:col>2</xdr:col>
                <xdr:colOff>0</xdr:colOff>
                <xdr:row>7</xdr:row>
                <xdr:rowOff>257175</xdr:rowOff>
              </to>
            </anchor>
          </controlPr>
        </control>
      </mc:Choice>
      <mc:Fallback>
        <control shapeId="2066" r:id="rId14" name="cboLanguage"/>
      </mc:Fallback>
    </mc:AlternateContent>
    <mc:AlternateContent xmlns:mc="http://schemas.openxmlformats.org/markup-compatibility/2006">
      <mc:Choice Requires="x14">
        <control shapeId="2065" r:id="rId16" name="cboPlatform">
          <controlPr defaultSize="0" autoLine="0" r:id="rId17">
            <anchor moveWithCells="1">
              <from>
                <xdr:col>1</xdr:col>
                <xdr:colOff>19050</xdr:colOff>
                <xdr:row>13</xdr:row>
                <xdr:rowOff>19050</xdr:rowOff>
              </from>
              <to>
                <xdr:col>2</xdr:col>
                <xdr:colOff>0</xdr:colOff>
                <xdr:row>13</xdr:row>
                <xdr:rowOff>257175</xdr:rowOff>
              </to>
            </anchor>
          </controlPr>
        </control>
      </mc:Choice>
      <mc:Fallback>
        <control shapeId="2065" r:id="rId16" name="cboPlatform"/>
      </mc:Fallback>
    </mc:AlternateContent>
    <mc:AlternateContent xmlns:mc="http://schemas.openxmlformats.org/markup-compatibility/2006">
      <mc:Choice Requires="x14">
        <control shapeId="2063" r:id="rId18" name="txtLastTowerName">
          <controlPr defaultSize="0" autoLine="0" r:id="rId19">
            <anchor moveWithCells="1">
              <from>
                <xdr:col>1</xdr:col>
                <xdr:colOff>19050</xdr:colOff>
                <xdr:row>5</xdr:row>
                <xdr:rowOff>19050</xdr:rowOff>
              </from>
              <to>
                <xdr:col>2</xdr:col>
                <xdr:colOff>0</xdr:colOff>
                <xdr:row>5</xdr:row>
                <xdr:rowOff>257175</xdr:rowOff>
              </to>
            </anchor>
          </controlPr>
        </control>
      </mc:Choice>
      <mc:Fallback>
        <control shapeId="2063" r:id="rId18" name="txtLastTowerName"/>
      </mc:Fallback>
    </mc:AlternateContent>
    <mc:AlternateContent xmlns:mc="http://schemas.openxmlformats.org/markup-compatibility/2006">
      <mc:Choice Requires="x14">
        <control shapeId="2062" r:id="rId20" name="txtFirstTowerName">
          <controlPr defaultSize="0" autoLine="0" r:id="rId21">
            <anchor moveWithCells="1">
              <from>
                <xdr:col>1</xdr:col>
                <xdr:colOff>19050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2062" r:id="rId20" name="txtFirstTowerName"/>
      </mc:Fallback>
    </mc:AlternateContent>
    <mc:AlternateContent xmlns:mc="http://schemas.openxmlformats.org/markup-compatibility/2006">
      <mc:Choice Requires="x14">
        <control shapeId="2057" r:id="rId22" name="cboExportFormat">
          <controlPr defaultSize="0" autoLine="0" r:id="rId23">
            <anchor moveWithCells="1">
              <from>
                <xdr:col>1</xdr:col>
                <xdr:colOff>19050</xdr:colOff>
                <xdr:row>11</xdr:row>
                <xdr:rowOff>19050</xdr:rowOff>
              </from>
              <to>
                <xdr:col>2</xdr:col>
                <xdr:colOff>0</xdr:colOff>
                <xdr:row>11</xdr:row>
                <xdr:rowOff>257175</xdr:rowOff>
              </to>
            </anchor>
          </controlPr>
        </control>
      </mc:Choice>
      <mc:Fallback>
        <control shapeId="2057" r:id="rId22" name="cboExportFormat"/>
      </mc:Fallback>
    </mc:AlternateContent>
    <mc:AlternateContent xmlns:mc="http://schemas.openxmlformats.org/markup-compatibility/2006">
      <mc:Choice Requires="x14">
        <control shapeId="2056" r:id="rId24" name="btnLoadGISData">
          <controlPr defaultSize="0" autoLine="0" r:id="rId25">
            <anchor moveWithCells="1">
              <from>
                <xdr:col>3</xdr:col>
                <xdr:colOff>971550</xdr:colOff>
                <xdr:row>15</xdr:row>
                <xdr:rowOff>28575</xdr:rowOff>
              </from>
              <to>
                <xdr:col>4</xdr:col>
                <xdr:colOff>571500</xdr:colOff>
                <xdr:row>16</xdr:row>
                <xdr:rowOff>66675</xdr:rowOff>
              </to>
            </anchor>
          </controlPr>
        </control>
      </mc:Choice>
      <mc:Fallback>
        <control shapeId="2056" r:id="rId24" name="btnLoadGISData"/>
      </mc:Fallback>
    </mc:AlternateContent>
    <mc:AlternateContent xmlns:mc="http://schemas.openxmlformats.org/markup-compatibility/2006">
      <mc:Choice Requires="x14">
        <control shapeId="2053" r:id="rId26" name="cboFlightMode">
          <controlPr defaultSize="0" autoLine="0" r:id="rId27">
            <anchor moveWithCells="1">
              <from>
                <xdr:col>1</xdr:col>
                <xdr:colOff>19050</xdr:colOff>
                <xdr:row>9</xdr:row>
                <xdr:rowOff>19050</xdr:rowOff>
              </from>
              <to>
                <xdr:col>2</xdr:col>
                <xdr:colOff>0</xdr:colOff>
                <xdr:row>9</xdr:row>
                <xdr:rowOff>257175</xdr:rowOff>
              </to>
            </anchor>
          </controlPr>
        </control>
      </mc:Choice>
      <mc:Fallback>
        <control shapeId="2053" r:id="rId26" name="cboFlightMode"/>
      </mc:Fallback>
    </mc:AlternateContent>
    <mc:AlternateContent xmlns:mc="http://schemas.openxmlformats.org/markup-compatibility/2006">
      <mc:Choice Requires="x14">
        <control shapeId="2050" r:id="rId28" name="btnGenerateFlightPlan">
          <controlPr locked="0" defaultSize="0" autoLine="0" r:id="rId29">
            <anchor moveWithCells="1">
              <from>
                <xdr:col>4</xdr:col>
                <xdr:colOff>638175</xdr:colOff>
                <xdr:row>15</xdr:row>
                <xdr:rowOff>28575</xdr:rowOff>
              </from>
              <to>
                <xdr:col>4</xdr:col>
                <xdr:colOff>2143125</xdr:colOff>
                <xdr:row>16</xdr:row>
                <xdr:rowOff>66675</xdr:rowOff>
              </to>
            </anchor>
          </controlPr>
        </control>
      </mc:Choice>
      <mc:Fallback>
        <control shapeId="2050" r:id="rId28" name="btnGenerateFlightPlan"/>
      </mc:Fallback>
    </mc:AlternateContent>
    <mc:AlternateContent xmlns:mc="http://schemas.openxmlformats.org/markup-compatibility/2006">
      <mc:Choice Requires="x14">
        <control shapeId="2076" r:id="rId30" name="cboInputFormat">
          <controlPr defaultSize="0" autoLine="0" r:id="rId31">
            <anchor moveWithCells="1">
              <from>
                <xdr:col>1</xdr:col>
                <xdr:colOff>19050</xdr:colOff>
                <xdr:row>1</xdr:row>
                <xdr:rowOff>19050</xdr:rowOff>
              </from>
              <to>
                <xdr:col>2</xdr:col>
                <xdr:colOff>0</xdr:colOff>
                <xdr:row>1</xdr:row>
                <xdr:rowOff>257175</xdr:rowOff>
              </to>
            </anchor>
          </controlPr>
        </control>
      </mc:Choice>
      <mc:Fallback>
        <control shapeId="2076" r:id="rId30" name="cboInputFormat"/>
      </mc:Fallback>
    </mc:AlternateContent>
    <mc:AlternateContent xmlns:mc="http://schemas.openxmlformats.org/markup-compatibility/2006">
      <mc:Choice Requires="x14">
        <control shapeId="2077" r:id="rId32" name="cboCamera">
          <controlPr defaultSize="0" autoLine="0" r:id="rId33">
            <anchor moveWithCells="1">
              <from>
                <xdr:col>4</xdr:col>
                <xdr:colOff>19050</xdr:colOff>
                <xdr:row>9</xdr:row>
                <xdr:rowOff>19050</xdr:rowOff>
              </from>
              <to>
                <xdr:col>5</xdr:col>
                <xdr:colOff>0</xdr:colOff>
                <xdr:row>9</xdr:row>
                <xdr:rowOff>257175</xdr:rowOff>
              </to>
            </anchor>
          </controlPr>
        </control>
      </mc:Choice>
      <mc:Fallback>
        <control shapeId="2077" r:id="rId32" name="cboCamera"/>
      </mc:Fallback>
    </mc:AlternateContent>
    <mc:AlternateContent xmlns:mc="http://schemas.openxmlformats.org/markup-compatibility/2006">
      <mc:Choice Requires="x14">
        <control shapeId="2078" r:id="rId34" name="cboVoltage">
          <controlPr defaultSize="0" autoLine="0" r:id="rId35">
            <anchor moveWithCells="1">
              <from>
                <xdr:col>4</xdr:col>
                <xdr:colOff>19050</xdr:colOff>
                <xdr:row>1</xdr:row>
                <xdr:rowOff>19050</xdr:rowOff>
              </from>
              <to>
                <xdr:col>5</xdr:col>
                <xdr:colOff>0</xdr:colOff>
                <xdr:row>1</xdr:row>
                <xdr:rowOff>257175</xdr:rowOff>
              </to>
            </anchor>
          </controlPr>
        </control>
      </mc:Choice>
      <mc:Fallback>
        <control shapeId="2078" r:id="rId34" name="cboVoltag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6"/>
  <sheetViews>
    <sheetView workbookViewId="0"/>
  </sheetViews>
  <sheetFormatPr defaultRowHeight="15" x14ac:dyDescent="0.25"/>
  <cols>
    <col min="1" max="1" width="20.85546875" customWidth="1"/>
    <col min="2" max="2" width="23.28515625" customWidth="1"/>
    <col min="3" max="3" width="17.85546875" customWidth="1"/>
    <col min="4" max="4" width="19.5703125" customWidth="1"/>
    <col min="5" max="5" width="11.28515625" customWidth="1"/>
  </cols>
  <sheetData>
    <row r="1" spans="1:4" x14ac:dyDescent="0.25">
      <c r="A1" s="1" t="s">
        <v>6</v>
      </c>
      <c r="B1" s="1" t="s">
        <v>7</v>
      </c>
      <c r="C1" s="1" t="s">
        <v>8</v>
      </c>
      <c r="D1" s="1" t="s">
        <v>9</v>
      </c>
    </row>
    <row r="2" spans="1:4" x14ac:dyDescent="0.25">
      <c r="A2" s="17">
        <v>6</v>
      </c>
      <c r="B2" s="4" t="s">
        <v>42</v>
      </c>
      <c r="C2" s="4" t="s">
        <v>46</v>
      </c>
      <c r="D2" s="3">
        <v>9.3000000000000007</v>
      </c>
    </row>
    <row r="3" spans="1:4" x14ac:dyDescent="0.25">
      <c r="A3" s="17">
        <v>6</v>
      </c>
      <c r="B3" s="4" t="s">
        <v>42</v>
      </c>
      <c r="C3" s="4" t="s">
        <v>45</v>
      </c>
      <c r="D3" s="3">
        <f>8.5+2.2</f>
        <v>10.7</v>
      </c>
    </row>
    <row r="4" spans="1:4" x14ac:dyDescent="0.25">
      <c r="A4" s="17">
        <v>10</v>
      </c>
      <c r="B4" s="4" t="s">
        <v>42</v>
      </c>
      <c r="C4" s="4" t="s">
        <v>46</v>
      </c>
      <c r="D4" s="3">
        <v>9.3000000000000007</v>
      </c>
    </row>
    <row r="5" spans="1:4" x14ac:dyDescent="0.25">
      <c r="A5" s="17">
        <v>10</v>
      </c>
      <c r="B5" s="4" t="s">
        <v>42</v>
      </c>
      <c r="C5" s="4" t="s">
        <v>45</v>
      </c>
      <c r="D5" s="3">
        <f>8.5+2.2</f>
        <v>10.7</v>
      </c>
    </row>
    <row r="6" spans="1:4" x14ac:dyDescent="0.25">
      <c r="A6" s="8">
        <v>35</v>
      </c>
      <c r="B6" s="4" t="s">
        <v>43</v>
      </c>
      <c r="C6" s="4" t="s">
        <v>46</v>
      </c>
      <c r="D6" s="3">
        <v>19</v>
      </c>
    </row>
    <row r="7" spans="1:4" x14ac:dyDescent="0.25">
      <c r="A7" s="8">
        <v>35</v>
      </c>
      <c r="B7" s="4" t="s">
        <v>43</v>
      </c>
      <c r="C7" s="4" t="s">
        <v>45</v>
      </c>
      <c r="D7" s="3">
        <v>22.5</v>
      </c>
    </row>
    <row r="8" spans="1:4" x14ac:dyDescent="0.25">
      <c r="A8" s="8">
        <v>35</v>
      </c>
      <c r="B8" s="4" t="s">
        <v>44</v>
      </c>
      <c r="C8" s="4" t="s">
        <v>46</v>
      </c>
      <c r="D8" s="3">
        <v>19.5</v>
      </c>
    </row>
    <row r="9" spans="1:4" x14ac:dyDescent="0.25">
      <c r="A9" s="8">
        <v>35</v>
      </c>
      <c r="B9" s="4" t="s">
        <v>44</v>
      </c>
      <c r="C9" s="4" t="s">
        <v>45</v>
      </c>
      <c r="D9" s="3">
        <f>22.3+2.6</f>
        <v>24.900000000000002</v>
      </c>
    </row>
    <row r="10" spans="1:4" x14ac:dyDescent="0.25">
      <c r="A10" s="8">
        <v>110</v>
      </c>
      <c r="B10" s="4" t="s">
        <v>43</v>
      </c>
      <c r="C10" s="4" t="s">
        <v>46</v>
      </c>
      <c r="D10" s="3">
        <v>25</v>
      </c>
    </row>
    <row r="11" spans="1:4" x14ac:dyDescent="0.25">
      <c r="A11" s="8">
        <v>110</v>
      </c>
      <c r="B11" s="4" t="s">
        <v>43</v>
      </c>
      <c r="C11" s="4" t="s">
        <v>45</v>
      </c>
      <c r="D11" s="3">
        <v>33.700000000000003</v>
      </c>
    </row>
    <row r="12" spans="1:4" x14ac:dyDescent="0.25">
      <c r="A12" s="8">
        <v>110</v>
      </c>
      <c r="B12" s="4" t="s">
        <v>44</v>
      </c>
      <c r="C12" s="4" t="s">
        <v>46</v>
      </c>
      <c r="D12" s="3">
        <v>22.2</v>
      </c>
    </row>
    <row r="13" spans="1:4" x14ac:dyDescent="0.25">
      <c r="A13" s="8">
        <v>110</v>
      </c>
      <c r="B13" s="4" t="s">
        <v>44</v>
      </c>
      <c r="C13" s="4" t="s">
        <v>45</v>
      </c>
      <c r="D13" s="3">
        <v>28</v>
      </c>
    </row>
    <row r="14" spans="1:4" x14ac:dyDescent="0.25">
      <c r="A14" s="8">
        <v>220</v>
      </c>
      <c r="B14" s="4" t="s">
        <v>43</v>
      </c>
      <c r="C14" s="4" t="s">
        <v>46</v>
      </c>
      <c r="D14" s="3">
        <v>36</v>
      </c>
    </row>
    <row r="15" spans="1:4" x14ac:dyDescent="0.25">
      <c r="A15" s="8">
        <v>220</v>
      </c>
      <c r="B15" s="4" t="s">
        <v>43</v>
      </c>
      <c r="C15" s="4" t="s">
        <v>45</v>
      </c>
      <c r="D15" s="3">
        <v>41.6</v>
      </c>
    </row>
    <row r="16" spans="1:4" x14ac:dyDescent="0.25">
      <c r="A16" s="8">
        <v>220</v>
      </c>
      <c r="B16" s="4" t="s">
        <v>44</v>
      </c>
      <c r="C16" s="4" t="s">
        <v>46</v>
      </c>
      <c r="D16" s="3">
        <f>14.5+8.2</f>
        <v>22.7</v>
      </c>
    </row>
    <row r="17" spans="1:4" x14ac:dyDescent="0.25">
      <c r="A17" s="8">
        <v>220</v>
      </c>
      <c r="B17" s="4" t="s">
        <v>44</v>
      </c>
      <c r="C17" s="4" t="s">
        <v>45</v>
      </c>
      <c r="D17" s="3">
        <f>18.33+4+4+0.2</f>
        <v>26.529999999999998</v>
      </c>
    </row>
    <row r="18" spans="1:4" x14ac:dyDescent="0.25">
      <c r="A18" s="8">
        <v>330</v>
      </c>
      <c r="B18" s="4" t="s">
        <v>43</v>
      </c>
      <c r="C18" s="4" t="s">
        <v>46</v>
      </c>
      <c r="D18" s="3">
        <v>33.700000000000003</v>
      </c>
    </row>
    <row r="19" spans="1:4" x14ac:dyDescent="0.25">
      <c r="A19" s="8">
        <v>330</v>
      </c>
      <c r="B19" s="4" t="s">
        <v>43</v>
      </c>
      <c r="C19" s="4" t="s">
        <v>45</v>
      </c>
      <c r="D19" s="3">
        <v>47.4</v>
      </c>
    </row>
    <row r="20" spans="1:4" x14ac:dyDescent="0.25">
      <c r="A20" s="8">
        <v>330</v>
      </c>
      <c r="B20" s="4" t="s">
        <v>44</v>
      </c>
      <c r="C20" s="4" t="s">
        <v>46</v>
      </c>
      <c r="D20" s="3">
        <f>15.5+5.5</f>
        <v>21</v>
      </c>
    </row>
    <row r="21" spans="1:4" x14ac:dyDescent="0.25">
      <c r="A21" s="8">
        <v>330</v>
      </c>
      <c r="B21" s="4" t="s">
        <v>44</v>
      </c>
      <c r="C21" s="4" t="s">
        <v>45</v>
      </c>
      <c r="D21" s="3">
        <f>16.5+7.8+4.3</f>
        <v>28.6</v>
      </c>
    </row>
    <row r="22" spans="1:4" x14ac:dyDescent="0.25">
      <c r="A22" s="8">
        <v>500</v>
      </c>
      <c r="B22" s="4" t="s">
        <v>44</v>
      </c>
      <c r="C22" s="4" t="s">
        <v>46</v>
      </c>
      <c r="D22" s="3">
        <f>22.5+4.9</f>
        <v>27.4</v>
      </c>
    </row>
    <row r="23" spans="1:4" x14ac:dyDescent="0.25">
      <c r="A23" s="8">
        <v>500</v>
      </c>
      <c r="B23" s="4" t="s">
        <v>44</v>
      </c>
      <c r="C23" s="4" t="s">
        <v>45</v>
      </c>
      <c r="D23" s="3">
        <f>23+4.5</f>
        <v>27.5</v>
      </c>
    </row>
    <row r="24" spans="1:4" x14ac:dyDescent="0.25">
      <c r="A24" s="8">
        <v>500</v>
      </c>
      <c r="B24" s="4" t="s">
        <v>43</v>
      </c>
      <c r="C24" s="4" t="s">
        <v>46</v>
      </c>
      <c r="D24" s="3">
        <v>27</v>
      </c>
    </row>
    <row r="25" spans="1:4" x14ac:dyDescent="0.25">
      <c r="A25" s="8">
        <v>500</v>
      </c>
      <c r="B25" s="4" t="s">
        <v>43</v>
      </c>
      <c r="C25" s="4" t="s">
        <v>45</v>
      </c>
      <c r="D25" s="3">
        <v>32.200000000000003</v>
      </c>
    </row>
    <row r="26" spans="1:4" x14ac:dyDescent="0.25">
      <c r="A26" s="4">
        <v>750</v>
      </c>
      <c r="B26" s="4" t="s">
        <v>43</v>
      </c>
      <c r="C26" s="4" t="s">
        <v>46</v>
      </c>
      <c r="D26" s="3">
        <v>35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72"/>
  <sheetViews>
    <sheetView workbookViewId="0"/>
  </sheetViews>
  <sheetFormatPr defaultRowHeight="15" x14ac:dyDescent="0.25"/>
  <cols>
    <col min="1" max="1" width="20.85546875" customWidth="1"/>
    <col min="2" max="2" width="23.28515625" customWidth="1"/>
    <col min="3" max="3" width="17.85546875" customWidth="1"/>
    <col min="4" max="4" width="19.5703125" customWidth="1"/>
  </cols>
  <sheetData>
    <row r="1" spans="1:4" x14ac:dyDescent="0.25">
      <c r="A1" s="20" t="s">
        <v>6</v>
      </c>
      <c r="B1" s="20" t="s">
        <v>7</v>
      </c>
      <c r="C1" s="20" t="s">
        <v>8</v>
      </c>
      <c r="D1" s="20" t="s">
        <v>9</v>
      </c>
    </row>
    <row r="2" spans="1:4" x14ac:dyDescent="0.25">
      <c r="A2" s="21">
        <v>6</v>
      </c>
      <c r="B2" s="21" t="s">
        <v>49</v>
      </c>
      <c r="C2" s="21" t="s">
        <v>50</v>
      </c>
      <c r="D2" s="19">
        <v>9.8000000000000007</v>
      </c>
    </row>
    <row r="3" spans="1:4" x14ac:dyDescent="0.25">
      <c r="A3" s="21">
        <v>6</v>
      </c>
      <c r="B3" s="21" t="s">
        <v>49</v>
      </c>
      <c r="C3" s="21" t="s">
        <v>51</v>
      </c>
      <c r="D3" s="19">
        <v>9.8000000000000007</v>
      </c>
    </row>
    <row r="4" spans="1:4" x14ac:dyDescent="0.25">
      <c r="A4" s="21">
        <v>6</v>
      </c>
      <c r="B4" s="21" t="s">
        <v>49</v>
      </c>
      <c r="C4" s="21" t="s">
        <v>52</v>
      </c>
      <c r="D4" s="19">
        <v>9.3000000000000007</v>
      </c>
    </row>
    <row r="5" spans="1:4" x14ac:dyDescent="0.25">
      <c r="A5" s="21">
        <v>6</v>
      </c>
      <c r="B5" s="21" t="s">
        <v>49</v>
      </c>
      <c r="C5" s="21" t="s">
        <v>52</v>
      </c>
      <c r="D5" s="19">
        <v>9.3000000000000007</v>
      </c>
    </row>
    <row r="6" spans="1:4" x14ac:dyDescent="0.25">
      <c r="A6" s="21">
        <v>6</v>
      </c>
      <c r="B6" s="21" t="s">
        <v>49</v>
      </c>
      <c r="C6" s="21" t="s">
        <v>53</v>
      </c>
      <c r="D6" s="19">
        <v>10.7</v>
      </c>
    </row>
    <row r="7" spans="1:4" x14ac:dyDescent="0.25">
      <c r="A7" s="21">
        <v>6</v>
      </c>
      <c r="B7" s="21" t="s">
        <v>49</v>
      </c>
      <c r="C7" s="21" t="s">
        <v>54</v>
      </c>
      <c r="D7" s="19">
        <v>10.7</v>
      </c>
    </row>
    <row r="8" spans="1:4" x14ac:dyDescent="0.25">
      <c r="A8" s="21">
        <v>6</v>
      </c>
      <c r="B8" s="21" t="s">
        <v>49</v>
      </c>
      <c r="C8" s="21" t="s">
        <v>55</v>
      </c>
      <c r="D8" s="19">
        <v>10.7</v>
      </c>
    </row>
    <row r="9" spans="1:4" x14ac:dyDescent="0.25">
      <c r="A9" s="21">
        <v>6</v>
      </c>
      <c r="B9" s="21" t="s">
        <v>49</v>
      </c>
      <c r="C9" s="21" t="s">
        <v>56</v>
      </c>
      <c r="D9" s="19">
        <v>10.7</v>
      </c>
    </row>
    <row r="10" spans="1:4" x14ac:dyDescent="0.25">
      <c r="A10" s="21">
        <v>10</v>
      </c>
      <c r="B10" s="21" t="s">
        <v>49</v>
      </c>
      <c r="C10" s="21" t="s">
        <v>50</v>
      </c>
      <c r="D10" s="19">
        <v>9.8000000000000007</v>
      </c>
    </row>
    <row r="11" spans="1:4" x14ac:dyDescent="0.25">
      <c r="A11" s="21">
        <v>10</v>
      </c>
      <c r="B11" s="21" t="s">
        <v>49</v>
      </c>
      <c r="C11" s="21" t="s">
        <v>51</v>
      </c>
      <c r="D11" s="19">
        <v>9.8000000000000007</v>
      </c>
    </row>
    <row r="12" spans="1:4" x14ac:dyDescent="0.25">
      <c r="A12" s="21">
        <v>10</v>
      </c>
      <c r="B12" s="21" t="s">
        <v>49</v>
      </c>
      <c r="C12" s="21" t="s">
        <v>52</v>
      </c>
      <c r="D12" s="19">
        <v>9.3000000000000007</v>
      </c>
    </row>
    <row r="13" spans="1:4" x14ac:dyDescent="0.25">
      <c r="A13" s="21">
        <v>10</v>
      </c>
      <c r="B13" s="21" t="s">
        <v>49</v>
      </c>
      <c r="C13" s="21" t="s">
        <v>52</v>
      </c>
      <c r="D13" s="19">
        <v>9.3000000000000007</v>
      </c>
    </row>
    <row r="14" spans="1:4" x14ac:dyDescent="0.25">
      <c r="A14" s="21">
        <v>10</v>
      </c>
      <c r="B14" s="21" t="s">
        <v>49</v>
      </c>
      <c r="C14" s="21" t="s">
        <v>53</v>
      </c>
      <c r="D14" s="19">
        <v>10.7</v>
      </c>
    </row>
    <row r="15" spans="1:4" x14ac:dyDescent="0.25">
      <c r="A15" s="21">
        <v>10</v>
      </c>
      <c r="B15" s="21" t="s">
        <v>49</v>
      </c>
      <c r="C15" s="21" t="s">
        <v>54</v>
      </c>
      <c r="D15" s="19">
        <v>10.7</v>
      </c>
    </row>
    <row r="16" spans="1:4" x14ac:dyDescent="0.25">
      <c r="A16" s="21">
        <v>10</v>
      </c>
      <c r="B16" s="21" t="s">
        <v>49</v>
      </c>
      <c r="C16" s="21" t="s">
        <v>55</v>
      </c>
      <c r="D16" s="19">
        <v>10.7</v>
      </c>
    </row>
    <row r="17" spans="1:4" x14ac:dyDescent="0.25">
      <c r="A17" s="21">
        <v>10</v>
      </c>
      <c r="B17" s="21" t="s">
        <v>49</v>
      </c>
      <c r="C17" s="21" t="s">
        <v>56</v>
      </c>
      <c r="D17" s="19">
        <v>10.7</v>
      </c>
    </row>
    <row r="18" spans="1:4" x14ac:dyDescent="0.25">
      <c r="A18" s="21">
        <v>35</v>
      </c>
      <c r="B18" s="21" t="s">
        <v>57</v>
      </c>
      <c r="C18" s="21" t="s">
        <v>58</v>
      </c>
      <c r="D18" s="19">
        <v>19</v>
      </c>
    </row>
    <row r="19" spans="1:4" x14ac:dyDescent="0.25">
      <c r="A19" s="21">
        <v>35</v>
      </c>
      <c r="B19" s="21" t="s">
        <v>57</v>
      </c>
      <c r="C19" s="21" t="s">
        <v>59</v>
      </c>
      <c r="D19" s="19">
        <v>22.5</v>
      </c>
    </row>
    <row r="20" spans="1:4" x14ac:dyDescent="0.25">
      <c r="A20" s="21">
        <v>35</v>
      </c>
      <c r="B20" s="21" t="s">
        <v>57</v>
      </c>
      <c r="C20" s="21" t="s">
        <v>60</v>
      </c>
      <c r="D20" s="19">
        <v>21</v>
      </c>
    </row>
    <row r="21" spans="1:4" x14ac:dyDescent="0.25">
      <c r="A21" s="21">
        <v>35</v>
      </c>
      <c r="B21" s="21" t="s">
        <v>61</v>
      </c>
      <c r="C21" s="21" t="s">
        <v>62</v>
      </c>
      <c r="D21" s="19">
        <v>24.6</v>
      </c>
    </row>
    <row r="22" spans="1:4" x14ac:dyDescent="0.25">
      <c r="A22" s="21">
        <v>35</v>
      </c>
      <c r="B22" s="21" t="s">
        <v>61</v>
      </c>
      <c r="C22" s="21" t="s">
        <v>63</v>
      </c>
      <c r="D22" s="19">
        <v>24.6</v>
      </c>
    </row>
    <row r="23" spans="1:4" x14ac:dyDescent="0.25">
      <c r="A23" s="21">
        <v>35</v>
      </c>
      <c r="B23" s="21" t="s">
        <v>61</v>
      </c>
      <c r="C23" s="21" t="s">
        <v>64</v>
      </c>
      <c r="D23" s="19">
        <v>24.9</v>
      </c>
    </row>
    <row r="24" spans="1:4" x14ac:dyDescent="0.25">
      <c r="A24" s="21">
        <v>35</v>
      </c>
      <c r="B24" s="21" t="s">
        <v>61</v>
      </c>
      <c r="C24" s="21" t="s">
        <v>65</v>
      </c>
      <c r="D24" s="19">
        <v>24.9</v>
      </c>
    </row>
    <row r="25" spans="1:4" x14ac:dyDescent="0.25">
      <c r="A25" s="21">
        <v>35</v>
      </c>
      <c r="B25" s="21" t="s">
        <v>61</v>
      </c>
      <c r="C25" s="21" t="s">
        <v>66</v>
      </c>
      <c r="D25" s="19">
        <v>19.5</v>
      </c>
    </row>
    <row r="26" spans="1:4" x14ac:dyDescent="0.25">
      <c r="A26" s="21">
        <v>110</v>
      </c>
      <c r="B26" s="21" t="s">
        <v>57</v>
      </c>
      <c r="C26" s="21" t="s">
        <v>67</v>
      </c>
      <c r="D26" s="19">
        <v>25</v>
      </c>
    </row>
    <row r="27" spans="1:4" x14ac:dyDescent="0.25">
      <c r="A27" s="21">
        <v>110</v>
      </c>
      <c r="B27" s="21" t="s">
        <v>57</v>
      </c>
      <c r="C27" s="21" t="s">
        <v>68</v>
      </c>
      <c r="D27" s="19">
        <v>25</v>
      </c>
    </row>
    <row r="28" spans="1:4" x14ac:dyDescent="0.25">
      <c r="A28" s="21">
        <v>110</v>
      </c>
      <c r="B28" s="21" t="s">
        <v>57</v>
      </c>
      <c r="C28" s="21" t="s">
        <v>69</v>
      </c>
      <c r="D28" s="19">
        <v>25</v>
      </c>
    </row>
    <row r="29" spans="1:4" x14ac:dyDescent="0.25">
      <c r="A29" s="21">
        <v>110</v>
      </c>
      <c r="B29" s="21" t="s">
        <v>57</v>
      </c>
      <c r="C29" s="21" t="s">
        <v>70</v>
      </c>
      <c r="D29" s="19">
        <v>31</v>
      </c>
    </row>
    <row r="30" spans="1:4" x14ac:dyDescent="0.25">
      <c r="A30" s="21">
        <v>110</v>
      </c>
      <c r="B30" s="21" t="s">
        <v>57</v>
      </c>
      <c r="C30" s="21" t="s">
        <v>71</v>
      </c>
      <c r="D30" s="19">
        <v>31</v>
      </c>
    </row>
    <row r="31" spans="1:4" x14ac:dyDescent="0.25">
      <c r="A31" s="21">
        <v>110</v>
      </c>
      <c r="B31" s="21" t="s">
        <v>57</v>
      </c>
      <c r="C31" s="21" t="s">
        <v>72</v>
      </c>
      <c r="D31" s="19">
        <v>23.9</v>
      </c>
    </row>
    <row r="32" spans="1:4" x14ac:dyDescent="0.25">
      <c r="A32" s="21">
        <v>110</v>
      </c>
      <c r="B32" s="21" t="s">
        <v>57</v>
      </c>
      <c r="C32" s="21" t="s">
        <v>73</v>
      </c>
      <c r="D32" s="19">
        <v>33.700000000000003</v>
      </c>
    </row>
    <row r="33" spans="1:4" x14ac:dyDescent="0.25">
      <c r="A33" s="21">
        <v>110</v>
      </c>
      <c r="B33" s="21" t="s">
        <v>57</v>
      </c>
      <c r="C33" s="21" t="s">
        <v>74</v>
      </c>
      <c r="D33" s="19">
        <v>29.7</v>
      </c>
    </row>
    <row r="34" spans="1:4" x14ac:dyDescent="0.25">
      <c r="A34" s="21">
        <v>110</v>
      </c>
      <c r="B34" s="21" t="s">
        <v>61</v>
      </c>
      <c r="C34" s="21" t="s">
        <v>75</v>
      </c>
      <c r="D34" s="19">
        <v>22.6</v>
      </c>
    </row>
    <row r="35" spans="1:4" x14ac:dyDescent="0.25">
      <c r="A35" s="21">
        <v>110</v>
      </c>
      <c r="B35" s="21" t="s">
        <v>61</v>
      </c>
      <c r="C35" s="21" t="s">
        <v>76</v>
      </c>
      <c r="D35" s="19">
        <v>22.6</v>
      </c>
    </row>
    <row r="36" spans="1:4" x14ac:dyDescent="0.25">
      <c r="A36" s="21">
        <v>110</v>
      </c>
      <c r="B36" s="21" t="s">
        <v>61</v>
      </c>
      <c r="C36" s="21" t="s">
        <v>77</v>
      </c>
      <c r="D36" s="19">
        <v>25.3</v>
      </c>
    </row>
    <row r="37" spans="1:4" x14ac:dyDescent="0.25">
      <c r="A37" s="21">
        <v>110</v>
      </c>
      <c r="B37" s="21" t="s">
        <v>61</v>
      </c>
      <c r="C37" s="21" t="s">
        <v>78</v>
      </c>
      <c r="D37" s="19">
        <v>25.3</v>
      </c>
    </row>
    <row r="38" spans="1:4" x14ac:dyDescent="0.25">
      <c r="A38" s="21">
        <v>110</v>
      </c>
      <c r="B38" s="21" t="s">
        <v>61</v>
      </c>
      <c r="C38" s="21" t="s">
        <v>79</v>
      </c>
      <c r="D38" s="19">
        <v>25.3</v>
      </c>
    </row>
    <row r="39" spans="1:4" x14ac:dyDescent="0.25">
      <c r="A39" s="21">
        <v>110</v>
      </c>
      <c r="B39" s="21" t="s">
        <v>61</v>
      </c>
      <c r="C39" s="21" t="s">
        <v>80</v>
      </c>
      <c r="D39" s="19">
        <v>28</v>
      </c>
    </row>
    <row r="40" spans="1:4" x14ac:dyDescent="0.25">
      <c r="A40" s="21">
        <v>110</v>
      </c>
      <c r="B40" s="21" t="s">
        <v>61</v>
      </c>
      <c r="C40" s="21" t="s">
        <v>81</v>
      </c>
      <c r="D40" s="19">
        <v>22.2</v>
      </c>
    </row>
    <row r="41" spans="1:4" x14ac:dyDescent="0.25">
      <c r="A41" s="21">
        <v>110</v>
      </c>
      <c r="B41" s="21" t="s">
        <v>61</v>
      </c>
      <c r="C41" s="21" t="s">
        <v>82</v>
      </c>
      <c r="D41" s="19">
        <v>22.1</v>
      </c>
    </row>
    <row r="42" spans="1:4" x14ac:dyDescent="0.25">
      <c r="A42" s="21">
        <v>110</v>
      </c>
      <c r="B42" s="21" t="s">
        <v>61</v>
      </c>
      <c r="C42" s="21" t="s">
        <v>83</v>
      </c>
      <c r="D42" s="19">
        <v>23.1</v>
      </c>
    </row>
    <row r="43" spans="1:4" x14ac:dyDescent="0.25">
      <c r="A43" s="21">
        <v>220</v>
      </c>
      <c r="B43" s="21" t="s">
        <v>57</v>
      </c>
      <c r="C43" s="21" t="s">
        <v>84</v>
      </c>
      <c r="D43" s="19">
        <v>41</v>
      </c>
    </row>
    <row r="44" spans="1:4" x14ac:dyDescent="0.25">
      <c r="A44" s="21">
        <v>220</v>
      </c>
      <c r="B44" s="21" t="s">
        <v>57</v>
      </c>
      <c r="C44" s="21" t="s">
        <v>85</v>
      </c>
      <c r="D44" s="19">
        <v>34.1</v>
      </c>
    </row>
    <row r="45" spans="1:4" x14ac:dyDescent="0.25">
      <c r="A45" s="21">
        <v>220</v>
      </c>
      <c r="B45" s="21" t="s">
        <v>57</v>
      </c>
      <c r="C45" s="21" t="s">
        <v>86</v>
      </c>
      <c r="D45" s="19">
        <v>36</v>
      </c>
    </row>
    <row r="46" spans="1:4" x14ac:dyDescent="0.25">
      <c r="A46" s="21">
        <v>220</v>
      </c>
      <c r="B46" s="21" t="s">
        <v>57</v>
      </c>
      <c r="C46" s="21" t="s">
        <v>87</v>
      </c>
      <c r="D46" s="19">
        <v>36</v>
      </c>
    </row>
    <row r="47" spans="1:4" x14ac:dyDescent="0.25">
      <c r="A47" s="21">
        <v>220</v>
      </c>
      <c r="B47" s="21" t="s">
        <v>57</v>
      </c>
      <c r="C47" s="21" t="s">
        <v>88</v>
      </c>
      <c r="D47" s="19">
        <v>41.6</v>
      </c>
    </row>
    <row r="48" spans="1:4" x14ac:dyDescent="0.25">
      <c r="A48" s="21">
        <v>220</v>
      </c>
      <c r="B48" s="21" t="s">
        <v>57</v>
      </c>
      <c r="C48" s="21" t="s">
        <v>89</v>
      </c>
      <c r="D48" s="19">
        <v>40.6</v>
      </c>
    </row>
    <row r="49" spans="1:4" x14ac:dyDescent="0.25">
      <c r="A49" s="21">
        <v>220</v>
      </c>
      <c r="B49" s="21" t="s">
        <v>61</v>
      </c>
      <c r="C49" s="21" t="s">
        <v>90</v>
      </c>
      <c r="D49" s="19">
        <v>24</v>
      </c>
    </row>
    <row r="50" spans="1:4" x14ac:dyDescent="0.25">
      <c r="A50" s="21">
        <v>220</v>
      </c>
      <c r="B50" s="21" t="s">
        <v>61</v>
      </c>
      <c r="C50" s="21" t="s">
        <v>91</v>
      </c>
      <c r="D50" s="19">
        <v>24</v>
      </c>
    </row>
    <row r="51" spans="1:4" x14ac:dyDescent="0.25">
      <c r="A51" s="21">
        <v>220</v>
      </c>
      <c r="B51" s="21" t="s">
        <v>61</v>
      </c>
      <c r="C51" s="21" t="s">
        <v>92</v>
      </c>
      <c r="D51" s="19">
        <v>24</v>
      </c>
    </row>
    <row r="52" spans="1:4" x14ac:dyDescent="0.25">
      <c r="A52" s="21">
        <v>220</v>
      </c>
      <c r="B52" s="21" t="s">
        <v>61</v>
      </c>
      <c r="C52" s="21" t="s">
        <v>93</v>
      </c>
      <c r="D52" s="19">
        <v>25.2</v>
      </c>
    </row>
    <row r="53" spans="1:4" x14ac:dyDescent="0.25">
      <c r="A53" s="21">
        <v>220</v>
      </c>
      <c r="B53" s="21" t="s">
        <v>61</v>
      </c>
      <c r="C53" s="21" t="s">
        <v>94</v>
      </c>
      <c r="D53" s="19">
        <v>22.7</v>
      </c>
    </row>
    <row r="54" spans="1:4" x14ac:dyDescent="0.25">
      <c r="A54" s="21">
        <v>220</v>
      </c>
      <c r="B54" s="21" t="s">
        <v>61</v>
      </c>
      <c r="C54" s="21" t="s">
        <v>95</v>
      </c>
      <c r="D54" s="19">
        <v>26.53</v>
      </c>
    </row>
    <row r="55" spans="1:4" x14ac:dyDescent="0.25">
      <c r="A55" s="21">
        <v>220</v>
      </c>
      <c r="B55" s="21" t="s">
        <v>61</v>
      </c>
      <c r="C55" s="21" t="s">
        <v>96</v>
      </c>
      <c r="D55" s="19">
        <v>23.2</v>
      </c>
    </row>
    <row r="56" spans="1:4" x14ac:dyDescent="0.25">
      <c r="A56" s="21">
        <v>330</v>
      </c>
      <c r="B56" s="21" t="s">
        <v>57</v>
      </c>
      <c r="C56" s="21" t="s">
        <v>97</v>
      </c>
      <c r="D56" s="19">
        <v>33.700000000000003</v>
      </c>
    </row>
    <row r="57" spans="1:4" x14ac:dyDescent="0.25">
      <c r="A57" s="21">
        <v>330</v>
      </c>
      <c r="B57" s="21" t="s">
        <v>57</v>
      </c>
      <c r="C57" s="21" t="s">
        <v>97</v>
      </c>
      <c r="D57" s="19">
        <v>33.700000000000003</v>
      </c>
    </row>
    <row r="58" spans="1:4" x14ac:dyDescent="0.25">
      <c r="A58" s="21">
        <v>330</v>
      </c>
      <c r="B58" s="21" t="s">
        <v>57</v>
      </c>
      <c r="C58" s="21" t="s">
        <v>98</v>
      </c>
      <c r="D58" s="19">
        <v>43.5</v>
      </c>
    </row>
    <row r="59" spans="1:4" x14ac:dyDescent="0.25">
      <c r="A59" s="21">
        <v>330</v>
      </c>
      <c r="B59" s="21" t="s">
        <v>57</v>
      </c>
      <c r="C59" s="21" t="s">
        <v>99</v>
      </c>
      <c r="D59" s="19">
        <v>41</v>
      </c>
    </row>
    <row r="60" spans="1:4" x14ac:dyDescent="0.25">
      <c r="A60" s="21">
        <v>330</v>
      </c>
      <c r="B60" s="21" t="s">
        <v>57</v>
      </c>
      <c r="C60" s="21" t="s">
        <v>100</v>
      </c>
      <c r="D60" s="19">
        <v>47.4</v>
      </c>
    </row>
    <row r="61" spans="1:4" x14ac:dyDescent="0.25">
      <c r="A61" s="21">
        <v>330</v>
      </c>
      <c r="B61" s="21" t="s">
        <v>61</v>
      </c>
      <c r="C61" s="21" t="s">
        <v>101</v>
      </c>
      <c r="D61" s="19">
        <v>26.9</v>
      </c>
    </row>
    <row r="62" spans="1:4" x14ac:dyDescent="0.25">
      <c r="A62" s="21">
        <v>330</v>
      </c>
      <c r="B62" s="21" t="s">
        <v>61</v>
      </c>
      <c r="C62" s="21" t="s">
        <v>102</v>
      </c>
      <c r="D62" s="19">
        <v>27</v>
      </c>
    </row>
    <row r="63" spans="1:4" x14ac:dyDescent="0.25">
      <c r="A63" s="21">
        <v>330</v>
      </c>
      <c r="B63" s="21" t="s">
        <v>61</v>
      </c>
      <c r="C63" s="21" t="s">
        <v>103</v>
      </c>
      <c r="D63" s="19">
        <v>28.6</v>
      </c>
    </row>
    <row r="64" spans="1:4" x14ac:dyDescent="0.25">
      <c r="A64" s="21">
        <v>330</v>
      </c>
      <c r="B64" s="21" t="s">
        <v>61</v>
      </c>
      <c r="C64" s="21" t="s">
        <v>104</v>
      </c>
      <c r="D64" s="19">
        <v>21</v>
      </c>
    </row>
    <row r="65" spans="1:4" x14ac:dyDescent="0.25">
      <c r="A65" s="21">
        <v>500</v>
      </c>
      <c r="B65" s="21" t="s">
        <v>61</v>
      </c>
      <c r="C65" s="21" t="s">
        <v>105</v>
      </c>
      <c r="D65" s="19">
        <v>27.5</v>
      </c>
    </row>
    <row r="66" spans="1:4" x14ac:dyDescent="0.25">
      <c r="A66" s="21">
        <v>500</v>
      </c>
      <c r="B66" s="21" t="s">
        <v>61</v>
      </c>
      <c r="C66" s="21" t="s">
        <v>106</v>
      </c>
      <c r="D66" s="19">
        <v>27.5</v>
      </c>
    </row>
    <row r="67" spans="1:4" x14ac:dyDescent="0.25">
      <c r="A67" s="21">
        <v>500</v>
      </c>
      <c r="B67" s="21" t="s">
        <v>61</v>
      </c>
      <c r="C67" s="21" t="s">
        <v>107</v>
      </c>
      <c r="D67" s="19">
        <v>27.4</v>
      </c>
    </row>
    <row r="68" spans="1:4" x14ac:dyDescent="0.25">
      <c r="A68" s="21">
        <v>500</v>
      </c>
      <c r="B68" s="21" t="s">
        <v>57</v>
      </c>
      <c r="C68" s="21" t="s">
        <v>108</v>
      </c>
      <c r="D68" s="19">
        <v>32</v>
      </c>
    </row>
    <row r="69" spans="1:4" x14ac:dyDescent="0.25">
      <c r="A69" s="21">
        <v>500</v>
      </c>
      <c r="B69" s="21" t="s">
        <v>57</v>
      </c>
      <c r="C69" s="21" t="s">
        <v>109</v>
      </c>
      <c r="D69" s="19">
        <v>29.5</v>
      </c>
    </row>
    <row r="70" spans="1:4" x14ac:dyDescent="0.25">
      <c r="A70" s="21">
        <v>500</v>
      </c>
      <c r="B70" s="21"/>
      <c r="C70" s="21" t="s">
        <v>110</v>
      </c>
      <c r="D70" s="19">
        <v>27</v>
      </c>
    </row>
    <row r="71" spans="1:4" x14ac:dyDescent="0.25">
      <c r="A71" s="21">
        <v>500</v>
      </c>
      <c r="B71" s="21"/>
      <c r="C71" s="21" t="s">
        <v>89</v>
      </c>
      <c r="D71" s="19">
        <v>32.200000000000003</v>
      </c>
    </row>
    <row r="72" spans="1:4" x14ac:dyDescent="0.25">
      <c r="A72" s="21">
        <v>750</v>
      </c>
      <c r="B72" s="21"/>
      <c r="C72" s="21" t="s">
        <v>111</v>
      </c>
      <c r="D72" s="19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"/>
  <sheetViews>
    <sheetView workbookViewId="0"/>
  </sheetViews>
  <sheetFormatPr defaultRowHeight="15" x14ac:dyDescent="0.25"/>
  <cols>
    <col min="1" max="1" width="14.5703125" customWidth="1"/>
    <col min="2" max="2" width="10.7109375" customWidth="1"/>
    <col min="3" max="3" width="10.28515625" customWidth="1"/>
  </cols>
  <sheetData>
    <row r="1" spans="1:4" ht="120" x14ac:dyDescent="0.25">
      <c r="A1" s="1" t="s">
        <v>6</v>
      </c>
      <c r="B1" s="1" t="s">
        <v>11</v>
      </c>
      <c r="C1" s="1" t="s">
        <v>114</v>
      </c>
      <c r="D1" s="1" t="s">
        <v>10</v>
      </c>
    </row>
    <row r="2" spans="1:4" x14ac:dyDescent="0.25">
      <c r="A2" s="1">
        <v>6</v>
      </c>
      <c r="B2" s="1">
        <v>2</v>
      </c>
      <c r="C2" s="33">
        <v>2</v>
      </c>
      <c r="D2" s="15">
        <f t="shared" ref="D2:D9" si="0">B2+$C$2</f>
        <v>4</v>
      </c>
    </row>
    <row r="3" spans="1:4" x14ac:dyDescent="0.25">
      <c r="A3" s="16">
        <v>10</v>
      </c>
      <c r="B3" s="6">
        <v>2</v>
      </c>
      <c r="C3" s="34"/>
      <c r="D3" s="11">
        <f t="shared" si="0"/>
        <v>4</v>
      </c>
    </row>
    <row r="4" spans="1:4" x14ac:dyDescent="0.25">
      <c r="A4" s="6">
        <v>35</v>
      </c>
      <c r="B4" s="6">
        <v>2</v>
      </c>
      <c r="C4" s="34"/>
      <c r="D4" s="11">
        <f t="shared" si="0"/>
        <v>4</v>
      </c>
    </row>
    <row r="5" spans="1:4" x14ac:dyDescent="0.25">
      <c r="A5" s="6">
        <v>110</v>
      </c>
      <c r="B5" s="6">
        <v>2</v>
      </c>
      <c r="C5" s="34"/>
      <c r="D5" s="11">
        <f t="shared" si="0"/>
        <v>4</v>
      </c>
    </row>
    <row r="6" spans="1:4" x14ac:dyDescent="0.25">
      <c r="A6" s="6">
        <v>220</v>
      </c>
      <c r="B6" s="6">
        <v>2.5</v>
      </c>
      <c r="C6" s="34"/>
      <c r="D6" s="11">
        <f t="shared" si="0"/>
        <v>4.5</v>
      </c>
    </row>
    <row r="7" spans="1:4" x14ac:dyDescent="0.25">
      <c r="A7" s="6">
        <v>330</v>
      </c>
      <c r="B7" s="6">
        <v>3.5</v>
      </c>
      <c r="C7" s="34"/>
      <c r="D7" s="11">
        <f t="shared" si="0"/>
        <v>5.5</v>
      </c>
    </row>
    <row r="8" spans="1:4" x14ac:dyDescent="0.25">
      <c r="A8" s="6">
        <v>500</v>
      </c>
      <c r="B8" s="6">
        <v>4.5</v>
      </c>
      <c r="C8" s="34"/>
      <c r="D8" s="11">
        <f t="shared" si="0"/>
        <v>6.5</v>
      </c>
    </row>
    <row r="9" spans="1:4" x14ac:dyDescent="0.25">
      <c r="A9" s="6">
        <v>750</v>
      </c>
      <c r="B9" s="6">
        <v>6</v>
      </c>
      <c r="C9" s="35"/>
      <c r="D9" s="11">
        <f t="shared" si="0"/>
        <v>8</v>
      </c>
    </row>
  </sheetData>
  <mergeCells count="1">
    <mergeCell ref="C2:C9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9"/>
  <sheetViews>
    <sheetView workbookViewId="0"/>
  </sheetViews>
  <sheetFormatPr defaultRowHeight="15" x14ac:dyDescent="0.25"/>
  <cols>
    <col min="2" max="2" width="12.7109375" customWidth="1"/>
    <col min="3" max="3" width="11.5703125" bestFit="1" customWidth="1"/>
  </cols>
  <sheetData>
    <row r="1" spans="1:3" ht="90" x14ac:dyDescent="0.25">
      <c r="A1" s="1" t="s">
        <v>6</v>
      </c>
      <c r="B1" s="1" t="s">
        <v>47</v>
      </c>
      <c r="C1" s="1" t="s">
        <v>112</v>
      </c>
    </row>
    <row r="2" spans="1:3" x14ac:dyDescent="0.25">
      <c r="A2" s="16">
        <v>6</v>
      </c>
      <c r="B2" s="1">
        <v>10</v>
      </c>
      <c r="C2" s="5">
        <f>B2/3</f>
        <v>3.3333333333333335</v>
      </c>
    </row>
    <row r="3" spans="1:3" x14ac:dyDescent="0.25">
      <c r="A3" s="16">
        <v>10</v>
      </c>
      <c r="B3" s="1">
        <v>10</v>
      </c>
      <c r="C3" s="5">
        <f>B3/3</f>
        <v>3.3333333333333335</v>
      </c>
    </row>
    <row r="4" spans="1:3" x14ac:dyDescent="0.25">
      <c r="A4" s="2">
        <v>35</v>
      </c>
      <c r="B4" s="1">
        <v>15</v>
      </c>
      <c r="C4" s="5">
        <f t="shared" ref="C4:C9" si="0">B4/3</f>
        <v>5</v>
      </c>
    </row>
    <row r="5" spans="1:3" x14ac:dyDescent="0.25">
      <c r="A5" s="2">
        <v>110</v>
      </c>
      <c r="B5" s="1">
        <v>20</v>
      </c>
      <c r="C5" s="5">
        <f t="shared" si="0"/>
        <v>6.666666666666667</v>
      </c>
    </row>
    <row r="6" spans="1:3" x14ac:dyDescent="0.25">
      <c r="A6" s="2">
        <v>220</v>
      </c>
      <c r="B6" s="1">
        <v>25</v>
      </c>
      <c r="C6" s="5">
        <f t="shared" si="0"/>
        <v>8.3333333333333339</v>
      </c>
    </row>
    <row r="7" spans="1:3" x14ac:dyDescent="0.25">
      <c r="A7" s="2">
        <v>330</v>
      </c>
      <c r="B7" s="1">
        <v>30</v>
      </c>
      <c r="C7" s="5">
        <f t="shared" si="0"/>
        <v>10</v>
      </c>
    </row>
    <row r="8" spans="1:3" x14ac:dyDescent="0.25">
      <c r="A8" s="2">
        <v>500</v>
      </c>
      <c r="B8" s="1">
        <v>30</v>
      </c>
      <c r="C8" s="5">
        <f t="shared" si="0"/>
        <v>10</v>
      </c>
    </row>
    <row r="9" spans="1:3" x14ac:dyDescent="0.25">
      <c r="A9" s="2">
        <v>750</v>
      </c>
      <c r="B9" s="1">
        <v>40</v>
      </c>
      <c r="C9" s="5">
        <f t="shared" si="0"/>
        <v>13.333333333333334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5"/>
  <sheetViews>
    <sheetView workbookViewId="0"/>
  </sheetViews>
  <sheetFormatPr defaultRowHeight="15" x14ac:dyDescent="0.25"/>
  <cols>
    <col min="1" max="1" width="26.7109375" customWidth="1"/>
    <col min="2" max="2" width="10.7109375" customWidth="1"/>
    <col min="3" max="3" width="20.7109375" customWidth="1"/>
    <col min="4" max="8" width="19.7109375" customWidth="1"/>
  </cols>
  <sheetData>
    <row r="1" spans="1:8" ht="30" x14ac:dyDescent="0.25">
      <c r="A1" s="22" t="s">
        <v>151</v>
      </c>
      <c r="B1" s="22" t="s">
        <v>152</v>
      </c>
      <c r="C1" s="22" t="s">
        <v>158</v>
      </c>
      <c r="D1" s="22" t="s">
        <v>115</v>
      </c>
      <c r="E1" s="22" t="s">
        <v>116</v>
      </c>
      <c r="F1" s="22" t="s">
        <v>153</v>
      </c>
      <c r="G1" s="22" t="s">
        <v>154</v>
      </c>
      <c r="H1" s="24"/>
    </row>
    <row r="2" spans="1:8" x14ac:dyDescent="0.25">
      <c r="A2" s="19" t="s">
        <v>117</v>
      </c>
      <c r="B2" s="23">
        <v>0.93300000000000005</v>
      </c>
      <c r="C2" s="23">
        <v>0.05</v>
      </c>
      <c r="D2" s="23">
        <v>3.5999999999999997E-2</v>
      </c>
      <c r="E2" s="23">
        <v>2.4E-2</v>
      </c>
      <c r="F2" s="19">
        <v>5616</v>
      </c>
      <c r="G2" s="19">
        <v>3744</v>
      </c>
      <c r="H2" s="9"/>
    </row>
    <row r="3" spans="1:8" x14ac:dyDescent="0.25">
      <c r="A3" s="19" t="s">
        <v>118</v>
      </c>
      <c r="B3" s="23">
        <v>0.93300000000000005</v>
      </c>
      <c r="C3" s="23">
        <v>2.4E-2</v>
      </c>
      <c r="D3" s="23">
        <v>3.5999999999999997E-2</v>
      </c>
      <c r="E3" s="23">
        <v>2.4E-2</v>
      </c>
      <c r="F3" s="19">
        <v>5616</v>
      </c>
      <c r="G3" s="19">
        <v>3744</v>
      </c>
      <c r="H3" s="9"/>
    </row>
    <row r="4" spans="1:8" x14ac:dyDescent="0.25">
      <c r="A4" s="19" t="s">
        <v>119</v>
      </c>
      <c r="B4" s="23">
        <v>0.98299999999999998</v>
      </c>
      <c r="C4" s="23">
        <v>0.05</v>
      </c>
      <c r="D4" s="23">
        <v>3.5999999999999997E-2</v>
      </c>
      <c r="E4" s="23">
        <v>2.4E-2</v>
      </c>
      <c r="F4" s="19">
        <v>5760</v>
      </c>
      <c r="G4" s="19">
        <v>3840</v>
      </c>
      <c r="H4" s="9"/>
    </row>
    <row r="5" spans="1:8" x14ac:dyDescent="0.25">
      <c r="A5" s="19" t="s">
        <v>120</v>
      </c>
      <c r="B5" s="23">
        <v>0.98299999999999998</v>
      </c>
      <c r="C5" s="23">
        <v>2.4E-2</v>
      </c>
      <c r="D5" s="23">
        <v>3.5999999999999997E-2</v>
      </c>
      <c r="E5" s="23">
        <v>2.4E-2</v>
      </c>
      <c r="F5" s="19">
        <v>5760</v>
      </c>
      <c r="G5" s="19">
        <v>3840</v>
      </c>
      <c r="H5" s="9"/>
    </row>
    <row r="6" spans="1:8" x14ac:dyDescent="0.25">
      <c r="A6" s="19" t="s">
        <v>121</v>
      </c>
      <c r="B6" s="23">
        <v>0.17399999999999999</v>
      </c>
      <c r="C6" s="23">
        <v>5.0000000000000001E-3</v>
      </c>
      <c r="D6" s="23">
        <v>6.1700000000000001E-3</v>
      </c>
      <c r="E6" s="23">
        <v>4.5500000000000002E-3</v>
      </c>
      <c r="F6" s="19">
        <v>4608</v>
      </c>
      <c r="G6" s="19">
        <v>3456</v>
      </c>
      <c r="H6" s="9"/>
    </row>
    <row r="7" spans="1:8" x14ac:dyDescent="0.25">
      <c r="A7" s="19" t="s">
        <v>122</v>
      </c>
      <c r="B7" s="23">
        <v>0.13300000000000001</v>
      </c>
      <c r="C7" s="23">
        <v>5.0000000000000001E-3</v>
      </c>
      <c r="D7" s="23">
        <v>6.1700000000000001E-3</v>
      </c>
      <c r="E7" s="23">
        <v>4.5500000000000002E-3</v>
      </c>
      <c r="F7" s="19">
        <v>4608</v>
      </c>
      <c r="G7" s="19">
        <v>3456</v>
      </c>
      <c r="H7" s="9"/>
    </row>
    <row r="8" spans="1:8" x14ac:dyDescent="0.25">
      <c r="A8" s="19" t="s">
        <v>123</v>
      </c>
      <c r="B8" s="23">
        <v>0.14399999999999999</v>
      </c>
      <c r="C8" s="23">
        <v>4.3E-3</v>
      </c>
      <c r="D8" s="23">
        <v>6.1700000000000001E-3</v>
      </c>
      <c r="E8" s="23">
        <v>4.5500000000000002E-3</v>
      </c>
      <c r="F8" s="19">
        <v>3648</v>
      </c>
      <c r="G8" s="19">
        <v>2736</v>
      </c>
      <c r="H8" s="9"/>
    </row>
    <row r="9" spans="1:8" x14ac:dyDescent="0.25">
      <c r="A9" s="19" t="s">
        <v>124</v>
      </c>
      <c r="B9" s="23">
        <v>0.155</v>
      </c>
      <c r="C9" s="23">
        <v>4.0000000000000001E-3</v>
      </c>
      <c r="D9" s="23">
        <v>6.1700000000000001E-3</v>
      </c>
      <c r="E9" s="23">
        <v>4.5500000000000002E-3</v>
      </c>
      <c r="F9" s="19">
        <v>3648</v>
      </c>
      <c r="G9" s="19">
        <v>2736</v>
      </c>
      <c r="H9" s="9"/>
    </row>
    <row r="10" spans="1:8" x14ac:dyDescent="0.25">
      <c r="A10" s="19" t="s">
        <v>125</v>
      </c>
      <c r="B10" s="23">
        <v>0.217</v>
      </c>
      <c r="C10" s="23">
        <v>5.1999999999999998E-3</v>
      </c>
      <c r="D10" s="23">
        <v>7.6E-3</v>
      </c>
      <c r="E10" s="23">
        <v>5.7000000000000002E-3</v>
      </c>
      <c r="F10" s="19">
        <v>4000</v>
      </c>
      <c r="G10" s="19">
        <v>3000</v>
      </c>
      <c r="H10" s="9"/>
    </row>
    <row r="11" spans="1:8" x14ac:dyDescent="0.25">
      <c r="A11" s="19" t="s">
        <v>126</v>
      </c>
      <c r="B11" s="23">
        <v>0.215</v>
      </c>
      <c r="C11" s="23">
        <v>5.0000000000000001E-3</v>
      </c>
      <c r="D11" s="23">
        <v>6.1700000000000001E-3</v>
      </c>
      <c r="E11" s="23">
        <v>4.62E-3</v>
      </c>
      <c r="F11" s="19">
        <v>4000</v>
      </c>
      <c r="G11" s="19">
        <v>3000</v>
      </c>
      <c r="H11" s="9"/>
    </row>
    <row r="12" spans="1:8" x14ac:dyDescent="0.25">
      <c r="A12" s="19" t="s">
        <v>127</v>
      </c>
      <c r="B12" s="23">
        <v>0.23300000000000001</v>
      </c>
      <c r="C12" s="23">
        <v>4.4999999999999997E-3</v>
      </c>
      <c r="D12" s="23">
        <v>6.1700000000000001E-3</v>
      </c>
      <c r="E12" s="23">
        <v>4.5500000000000002E-3</v>
      </c>
      <c r="F12" s="19">
        <v>4000</v>
      </c>
      <c r="G12" s="19">
        <v>3000</v>
      </c>
      <c r="H12" s="9"/>
    </row>
    <row r="13" spans="1:8" x14ac:dyDescent="0.25">
      <c r="A13" s="19" t="s">
        <v>128</v>
      </c>
      <c r="B13" s="23">
        <v>0.14399999999999999</v>
      </c>
      <c r="C13" s="23">
        <v>7.4999999999999997E-3</v>
      </c>
      <c r="D13" s="23">
        <v>4.0000000000000001E-3</v>
      </c>
      <c r="E13" s="23">
        <v>3.0000000000000001E-3</v>
      </c>
      <c r="F13" s="19">
        <v>160</v>
      </c>
      <c r="G13" s="19">
        <v>120</v>
      </c>
      <c r="H13" s="9"/>
    </row>
    <row r="14" spans="1:8" x14ac:dyDescent="0.25">
      <c r="A14" s="19" t="s">
        <v>129</v>
      </c>
      <c r="B14" s="23">
        <v>0.14399999999999999</v>
      </c>
      <c r="C14" s="23">
        <v>7.4999999999999997E-3</v>
      </c>
      <c r="D14" s="23">
        <v>8.0999999999999996E-3</v>
      </c>
      <c r="E14" s="23">
        <v>6.4000000000000003E-3</v>
      </c>
      <c r="F14" s="19">
        <v>324</v>
      </c>
      <c r="G14" s="19">
        <v>256</v>
      </c>
      <c r="H14" s="9"/>
    </row>
    <row r="15" spans="1:8" x14ac:dyDescent="0.25">
      <c r="A15" s="19" t="s">
        <v>130</v>
      </c>
      <c r="B15" s="23">
        <v>0.151</v>
      </c>
      <c r="C15" s="23">
        <v>7.4999999999999997E-3</v>
      </c>
      <c r="D15" s="23">
        <v>1.0880000000000001E-2</v>
      </c>
      <c r="E15" s="23">
        <v>8.6999999999999994E-3</v>
      </c>
      <c r="F15" s="19">
        <v>640</v>
      </c>
      <c r="G15" s="19">
        <v>480</v>
      </c>
      <c r="H15" s="9"/>
    </row>
    <row r="16" spans="1:8" x14ac:dyDescent="0.25">
      <c r="A16" s="19" t="s">
        <v>131</v>
      </c>
      <c r="B16" s="23">
        <v>9.4E-2</v>
      </c>
      <c r="C16" s="23">
        <v>5.0000000000000001E-3</v>
      </c>
      <c r="D16" s="23">
        <v>5.7499999999999999E-3</v>
      </c>
      <c r="E16" s="23">
        <v>4.28E-3</v>
      </c>
      <c r="F16" s="19">
        <v>2592</v>
      </c>
      <c r="G16" s="19">
        <v>944</v>
      </c>
      <c r="H16" s="9"/>
    </row>
    <row r="17" spans="1:8" x14ac:dyDescent="0.25">
      <c r="A17" s="19" t="s">
        <v>132</v>
      </c>
      <c r="B17" s="23">
        <v>0.1</v>
      </c>
      <c r="C17" s="23">
        <v>5.0000000000000001E-3</v>
      </c>
      <c r="D17" s="23">
        <v>5.7499999999999999E-3</v>
      </c>
      <c r="E17" s="23">
        <v>4.28E-3</v>
      </c>
      <c r="F17" s="19">
        <v>3840</v>
      </c>
      <c r="G17" s="19">
        <v>2880</v>
      </c>
      <c r="H17" s="9"/>
    </row>
    <row r="18" spans="1:8" x14ac:dyDescent="0.25">
      <c r="A18" s="19" t="s">
        <v>133</v>
      </c>
      <c r="B18" s="23">
        <v>7.3999999999999996E-2</v>
      </c>
      <c r="C18" s="23">
        <v>2.8E-3</v>
      </c>
      <c r="D18" s="23">
        <v>5.7499999999999999E-3</v>
      </c>
      <c r="E18" s="23">
        <v>4.28E-3</v>
      </c>
      <c r="F18" s="19">
        <v>2592</v>
      </c>
      <c r="G18" s="19">
        <v>1944</v>
      </c>
      <c r="H18" s="9"/>
    </row>
    <row r="19" spans="1:8" x14ac:dyDescent="0.25">
      <c r="A19" s="19" t="s">
        <v>134</v>
      </c>
      <c r="B19" s="23">
        <v>7.3999999999999996E-2</v>
      </c>
      <c r="C19" s="23">
        <v>2.8E-3</v>
      </c>
      <c r="D19" s="23">
        <v>5.3699999999999998E-3</v>
      </c>
      <c r="E19" s="23">
        <v>4.0400000000000002E-3</v>
      </c>
      <c r="F19" s="19">
        <v>3840</v>
      </c>
      <c r="G19" s="19">
        <v>2880</v>
      </c>
      <c r="H19" s="9"/>
    </row>
    <row r="20" spans="1:8" x14ac:dyDescent="0.25">
      <c r="A20" s="19" t="s">
        <v>135</v>
      </c>
      <c r="B20" s="23">
        <v>7.3999999999999996E-2</v>
      </c>
      <c r="C20" s="23">
        <v>2.8E-3</v>
      </c>
      <c r="D20" s="23">
        <v>6.1700000000000001E-3</v>
      </c>
      <c r="E20" s="23">
        <v>4.5500000000000002E-3</v>
      </c>
      <c r="F20" s="19">
        <v>4000</v>
      </c>
      <c r="G20" s="19">
        <v>3000</v>
      </c>
      <c r="H20" s="9"/>
    </row>
    <row r="21" spans="1:8" x14ac:dyDescent="0.25">
      <c r="A21" s="19" t="s">
        <v>136</v>
      </c>
      <c r="B21" s="23">
        <v>7.3999999999999996E-2</v>
      </c>
      <c r="C21" s="23">
        <v>2.8E-3</v>
      </c>
      <c r="D21" s="23">
        <v>5.3699999999999998E-3</v>
      </c>
      <c r="E21" s="23">
        <v>4.0400000000000002E-3</v>
      </c>
      <c r="F21" s="19">
        <v>3680</v>
      </c>
      <c r="G21" s="19">
        <v>2760</v>
      </c>
      <c r="H21" s="9"/>
    </row>
    <row r="22" spans="1:8" x14ac:dyDescent="0.25">
      <c r="A22" s="19" t="s">
        <v>137</v>
      </c>
      <c r="B22" s="23">
        <v>7.3999999999999996E-2</v>
      </c>
      <c r="C22" s="23">
        <v>2.8E-3</v>
      </c>
      <c r="D22" s="23">
        <v>6.1700000000000001E-3</v>
      </c>
      <c r="E22" s="23">
        <v>4.5500000000000002E-3</v>
      </c>
      <c r="F22" s="19">
        <v>4000</v>
      </c>
      <c r="G22" s="19">
        <v>3000</v>
      </c>
      <c r="H22" s="9"/>
    </row>
    <row r="23" spans="1:8" x14ac:dyDescent="0.25">
      <c r="A23" s="19" t="s">
        <v>138</v>
      </c>
      <c r="B23" s="23">
        <v>7.3999999999999996E-2</v>
      </c>
      <c r="C23" s="23">
        <v>2.8E-3</v>
      </c>
      <c r="D23" s="23">
        <v>5.7499999999999999E-3</v>
      </c>
      <c r="E23" s="23">
        <v>4.28E-3</v>
      </c>
      <c r="F23" s="19">
        <v>2592</v>
      </c>
      <c r="G23" s="19">
        <v>1944</v>
      </c>
      <c r="H23" s="9"/>
    </row>
    <row r="24" spans="1:8" x14ac:dyDescent="0.25">
      <c r="A24" s="19" t="s">
        <v>139</v>
      </c>
      <c r="B24" s="23">
        <v>8.3000000000000004E-2</v>
      </c>
      <c r="C24" s="23">
        <v>2.8E-3</v>
      </c>
      <c r="D24" s="23">
        <v>6.1700000000000001E-3</v>
      </c>
      <c r="E24" s="23">
        <v>4.5500000000000002E-3</v>
      </c>
      <c r="F24" s="19">
        <v>4000</v>
      </c>
      <c r="G24" s="19">
        <v>3000</v>
      </c>
      <c r="H24" s="9"/>
    </row>
    <row r="25" spans="1:8" x14ac:dyDescent="0.25">
      <c r="A25" s="19" t="s">
        <v>140</v>
      </c>
      <c r="B25" s="23">
        <v>8.7999999999999995E-2</v>
      </c>
      <c r="C25" s="23">
        <v>2.8E-3</v>
      </c>
      <c r="D25" s="23">
        <v>6.1700000000000001E-3</v>
      </c>
      <c r="E25" s="23">
        <v>4.5500000000000002E-3</v>
      </c>
      <c r="F25" s="19">
        <v>4000</v>
      </c>
      <c r="G25" s="19">
        <v>3000</v>
      </c>
      <c r="H25" s="9"/>
    </row>
    <row r="26" spans="1:8" x14ac:dyDescent="0.25">
      <c r="A26" s="19" t="s">
        <v>141</v>
      </c>
      <c r="B26" s="23">
        <v>0.17799999999999999</v>
      </c>
      <c r="C26" s="23">
        <v>5.0000000000000001E-3</v>
      </c>
      <c r="D26" s="23">
        <v>6.1700000000000001E-3</v>
      </c>
      <c r="E26" s="23">
        <v>4.62E-3</v>
      </c>
      <c r="F26" s="19">
        <v>4608</v>
      </c>
      <c r="G26" s="19">
        <v>3456</v>
      </c>
      <c r="H26" s="9"/>
    </row>
    <row r="27" spans="1:8" x14ac:dyDescent="0.25">
      <c r="A27" s="19" t="s">
        <v>142</v>
      </c>
      <c r="B27" s="23">
        <v>0.34899999999999998</v>
      </c>
      <c r="C27" s="23">
        <v>0.02</v>
      </c>
      <c r="D27" s="23">
        <v>2.35E-2</v>
      </c>
      <c r="E27" s="23">
        <v>1.5699999999999999E-2</v>
      </c>
      <c r="F27" s="19">
        <v>5472</v>
      </c>
      <c r="G27" s="19">
        <v>3648</v>
      </c>
      <c r="H27" s="9"/>
    </row>
    <row r="28" spans="1:8" x14ac:dyDescent="0.25">
      <c r="A28" s="19" t="s">
        <v>143</v>
      </c>
      <c r="B28" s="23">
        <v>0.17299999999999999</v>
      </c>
      <c r="C28" s="23">
        <v>6.3E-3</v>
      </c>
      <c r="D28" s="23">
        <v>5.7499999999999999E-3</v>
      </c>
      <c r="E28" s="23">
        <v>4.28E-3</v>
      </c>
      <c r="F28" s="19">
        <v>3264</v>
      </c>
      <c r="G28" s="19">
        <v>2448</v>
      </c>
      <c r="H28" s="9"/>
    </row>
    <row r="29" spans="1:8" x14ac:dyDescent="0.25">
      <c r="A29" s="19" t="s">
        <v>144</v>
      </c>
      <c r="B29" s="23">
        <v>0.502</v>
      </c>
      <c r="C29" s="23">
        <v>1.6E-2</v>
      </c>
      <c r="D29" s="23">
        <v>2.3400000000000001E-2</v>
      </c>
      <c r="E29" s="23">
        <v>1.5599999999999999E-2</v>
      </c>
      <c r="F29" s="19">
        <v>4592</v>
      </c>
      <c r="G29" s="19">
        <v>3056</v>
      </c>
      <c r="H29" s="9"/>
    </row>
    <row r="30" spans="1:8" x14ac:dyDescent="0.25">
      <c r="A30" s="19" t="s">
        <v>145</v>
      </c>
      <c r="B30" s="23">
        <v>0.502</v>
      </c>
      <c r="C30" s="23">
        <v>2.5000000000000001E-2</v>
      </c>
      <c r="D30" s="23">
        <v>2.3400000000000001E-2</v>
      </c>
      <c r="E30" s="23">
        <v>1.5599999999999999E-2</v>
      </c>
      <c r="F30" s="19">
        <v>4592</v>
      </c>
      <c r="G30" s="19">
        <v>3056</v>
      </c>
      <c r="H30" s="9"/>
    </row>
    <row r="31" spans="1:8" x14ac:dyDescent="0.25">
      <c r="A31" s="19" t="s">
        <v>146</v>
      </c>
      <c r="B31" s="23">
        <v>0.45</v>
      </c>
      <c r="C31" s="23">
        <v>1.6E-2</v>
      </c>
      <c r="D31" s="23">
        <v>2.3400000000000001E-2</v>
      </c>
      <c r="E31" s="23">
        <v>1.5599999999999999E-2</v>
      </c>
      <c r="F31" s="19">
        <v>6000</v>
      </c>
      <c r="G31" s="19">
        <v>4000</v>
      </c>
      <c r="H31" s="9"/>
    </row>
    <row r="32" spans="1:8" x14ac:dyDescent="0.25">
      <c r="A32" s="19" t="s">
        <v>147</v>
      </c>
      <c r="B32" s="23">
        <v>0.60899999999999999</v>
      </c>
      <c r="C32" s="23">
        <v>1.4E-2</v>
      </c>
      <c r="D32" s="23">
        <v>1.7299999999999999E-2</v>
      </c>
      <c r="E32" s="23">
        <v>1.2999999999999999E-2</v>
      </c>
      <c r="F32" s="19">
        <v>4608</v>
      </c>
      <c r="G32" s="19">
        <v>3456</v>
      </c>
      <c r="H32" s="9"/>
    </row>
    <row r="33" spans="1:8" x14ac:dyDescent="0.25">
      <c r="A33" s="19" t="s">
        <v>148</v>
      </c>
      <c r="B33" s="23">
        <v>0.60899999999999999</v>
      </c>
      <c r="C33" s="23">
        <v>0.02</v>
      </c>
      <c r="D33" s="23">
        <v>1.7299999999999999E-2</v>
      </c>
      <c r="E33" s="23">
        <v>1.2999999999999999E-2</v>
      </c>
      <c r="F33" s="19">
        <v>4608</v>
      </c>
      <c r="G33" s="19">
        <v>3456</v>
      </c>
      <c r="H33" s="9"/>
    </row>
    <row r="34" spans="1:8" x14ac:dyDescent="0.25">
      <c r="A34" s="19" t="s">
        <v>149</v>
      </c>
      <c r="B34" s="23">
        <v>0.5</v>
      </c>
      <c r="C34" s="23">
        <v>1.2E-2</v>
      </c>
      <c r="D34" s="23">
        <v>1.248E-2</v>
      </c>
      <c r="E34" s="23">
        <v>7.0200000000000002E-3</v>
      </c>
      <c r="F34" s="19">
        <v>1920</v>
      </c>
      <c r="G34" s="19">
        <v>1080</v>
      </c>
      <c r="H34" s="9"/>
    </row>
    <row r="35" spans="1:8" x14ac:dyDescent="0.25">
      <c r="A35" s="19" t="s">
        <v>150</v>
      </c>
      <c r="B35" s="23">
        <v>0.7</v>
      </c>
      <c r="C35" s="23">
        <v>9.5999999999999992E-3</v>
      </c>
      <c r="D35" s="23">
        <v>6.6600000000000001E-3</v>
      </c>
      <c r="E35" s="23">
        <v>5.3200000000000001E-3</v>
      </c>
      <c r="F35" s="19">
        <v>1280</v>
      </c>
      <c r="G35" s="19">
        <v>1024</v>
      </c>
      <c r="H35" s="9"/>
    </row>
  </sheetData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workbookViewId="0"/>
  </sheetViews>
  <sheetFormatPr defaultRowHeight="15" x14ac:dyDescent="0.25"/>
  <cols>
    <col min="1" max="6" width="22.7109375" customWidth="1"/>
  </cols>
  <sheetData>
    <row r="1" spans="1:6" ht="30" x14ac:dyDescent="0.25">
      <c r="A1" s="25" t="s">
        <v>168</v>
      </c>
      <c r="B1" s="25" t="s">
        <v>163</v>
      </c>
      <c r="C1" s="25" t="s">
        <v>164</v>
      </c>
      <c r="D1" s="25" t="s">
        <v>165</v>
      </c>
      <c r="E1" s="25" t="s">
        <v>166</v>
      </c>
      <c r="F1" s="25" t="s">
        <v>167</v>
      </c>
    </row>
    <row r="2" spans="1:6" x14ac:dyDescent="0.25">
      <c r="A2" s="26" t="s">
        <v>169</v>
      </c>
      <c r="B2" s="19">
        <v>7</v>
      </c>
      <c r="C2" s="19">
        <v>2</v>
      </c>
      <c r="D2" s="19">
        <v>3</v>
      </c>
      <c r="E2" s="19">
        <v>13</v>
      </c>
      <c r="F2" s="19">
        <v>14</v>
      </c>
    </row>
    <row r="3" spans="1:6" x14ac:dyDescent="0.25">
      <c r="A3" s="19" t="s">
        <v>170</v>
      </c>
      <c r="B3" s="19">
        <v>2</v>
      </c>
      <c r="C3" s="19"/>
      <c r="D3" s="27"/>
      <c r="E3" s="19">
        <v>1</v>
      </c>
      <c r="F3" s="19">
        <v>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Y8"/>
  <sheetViews>
    <sheetView workbookViewId="0"/>
  </sheetViews>
  <sheetFormatPr defaultColWidth="9.140625" defaultRowHeight="15" x14ac:dyDescent="0.25"/>
  <cols>
    <col min="1" max="5" width="15.7109375" style="7" customWidth="1"/>
    <col min="6" max="6" width="15.7109375" style="14" customWidth="1"/>
    <col min="7" max="7" width="15.7109375" style="7" customWidth="1"/>
    <col min="8" max="8" width="8" style="7" customWidth="1"/>
    <col min="9" max="14" width="16.7109375" style="7" customWidth="1"/>
    <col min="15" max="26" width="9.140625" style="7" customWidth="1"/>
    <col min="27" max="27" width="10.140625" style="7" hidden="1" customWidth="1"/>
    <col min="28" max="51" width="9.140625" style="7" hidden="1" customWidth="1"/>
    <col min="52" max="52" width="9.140625" style="7" customWidth="1"/>
    <col min="53" max="16384" width="9.140625" style="7"/>
  </cols>
  <sheetData>
    <row r="1" spans="1:51" ht="105" x14ac:dyDescent="0.25">
      <c r="A1" s="29" t="s">
        <v>12</v>
      </c>
      <c r="B1" s="29" t="s">
        <v>8</v>
      </c>
      <c r="C1" s="29" t="s">
        <v>13</v>
      </c>
      <c r="D1" s="29" t="s">
        <v>14</v>
      </c>
      <c r="E1" s="29" t="s">
        <v>15</v>
      </c>
      <c r="F1" s="29" t="s">
        <v>157</v>
      </c>
      <c r="G1" s="29" t="s">
        <v>172</v>
      </c>
      <c r="AA1" s="36" t="s">
        <v>17</v>
      </c>
      <c r="AB1" s="36" t="s">
        <v>18</v>
      </c>
      <c r="AC1" s="36" t="s">
        <v>19</v>
      </c>
      <c r="AD1" s="36" t="s">
        <v>20</v>
      </c>
      <c r="AE1" s="36" t="s">
        <v>21</v>
      </c>
      <c r="AF1" s="36" t="s">
        <v>22</v>
      </c>
      <c r="AG1" s="36" t="s">
        <v>23</v>
      </c>
      <c r="AH1" s="36" t="s">
        <v>24</v>
      </c>
      <c r="AI1" s="36" t="s">
        <v>25</v>
      </c>
      <c r="AJ1" s="36" t="s">
        <v>26</v>
      </c>
      <c r="AK1" s="36" t="s">
        <v>27</v>
      </c>
      <c r="AL1" s="36" t="s">
        <v>28</v>
      </c>
      <c r="AM1" s="36" t="s">
        <v>29</v>
      </c>
      <c r="AN1" s="36" t="s">
        <v>30</v>
      </c>
      <c r="AO1" s="36" t="s">
        <v>31</v>
      </c>
      <c r="AP1" s="36" t="s">
        <v>32</v>
      </c>
      <c r="AQ1" s="36" t="s">
        <v>33</v>
      </c>
      <c r="AR1" s="36" t="s">
        <v>34</v>
      </c>
      <c r="AS1" s="36" t="s">
        <v>35</v>
      </c>
      <c r="AT1" s="36" t="s">
        <v>36</v>
      </c>
      <c r="AU1" s="36" t="s">
        <v>37</v>
      </c>
      <c r="AV1" s="36" t="s">
        <v>38</v>
      </c>
      <c r="AW1" s="36" t="s">
        <v>39</v>
      </c>
      <c r="AX1" s="36" t="s">
        <v>40</v>
      </c>
      <c r="AY1" s="36" t="s">
        <v>41</v>
      </c>
    </row>
    <row r="2" spans="1:51" x14ac:dyDescent="0.25">
      <c r="A2" s="30">
        <v>1</v>
      </c>
      <c r="B2" s="30"/>
      <c r="C2" s="31">
        <v>-75.612594999999999</v>
      </c>
      <c r="D2" s="32">
        <v>39.611317900000003</v>
      </c>
      <c r="E2" s="30">
        <v>32.200000000000003</v>
      </c>
      <c r="F2" s="30">
        <v>38.700000000000003</v>
      </c>
      <c r="G2" s="30">
        <v>83.657050243111826</v>
      </c>
      <c r="AA2" s="28" t="e">
        <f>$C2-$C1</f>
        <v>#VALUE!</v>
      </c>
      <c r="AB2" s="7" t="e">
        <f>$D2-$D1</f>
        <v>#VALUE!</v>
      </c>
      <c r="AC2" s="7" t="e">
        <f>40075700/360*COS(RADIANS($D2))*$AA2</f>
        <v>#VALUE!</v>
      </c>
      <c r="AD2" s="7" t="e">
        <f>40007860/360*$AB2</f>
        <v>#VALUE!</v>
      </c>
      <c r="AE2" s="7" t="e">
        <f>DEGREES(ATAN(ABS($AC2/$AD2)))</f>
        <v>#VALUE!</v>
      </c>
      <c r="AF2" s="7" t="e">
        <f>IF(AND(AC2&gt;0,AD2&gt;0), 1, (IF(AND(AC2&gt;0,AD2&lt;0), 2, (IF(AND(AC2&lt;0,AD2&lt;0), 3, (IF(AND(AC2&lt;0,AD2&gt;0), 4, 0)))))))</f>
        <v>#VALUE!</v>
      </c>
      <c r="AG2" s="7" t="e">
        <f>IF(AF2=1, AE2, IF(AF2=2, 180-AE2, IF(AF2=3, 180+AE2, IF(AF2=4, 360-AE2, 0))))</f>
        <v>#VALUE!</v>
      </c>
      <c r="AH2" s="7" t="e">
        <f>SQRT(AC2^2 + AD2^2)</f>
        <v>#VALUE!</v>
      </c>
      <c r="AI2" s="7" t="e">
        <f>AG3-AG2</f>
        <v>#VALUE!</v>
      </c>
      <c r="AK2" s="7">
        <v>21</v>
      </c>
      <c r="AL2" s="7" t="e">
        <f>IF(ABS(AI2)&gt;1, IF(AG2+AI2/2 &gt;= 270, AG2+AI2/2-270, AG2+90+AI2/2), IF(AG2 &gt;= 270, AG2-270, AG2+90))</f>
        <v>#VALUE!</v>
      </c>
      <c r="AM2" s="7" t="e">
        <f>AK2*COS(RADIANS(AL2))</f>
        <v>#VALUE!</v>
      </c>
      <c r="AN2" s="7" t="e">
        <f>AK2*SIN(RADIANS(AL2))</f>
        <v>#VALUE!</v>
      </c>
      <c r="AO2" s="7" t="e">
        <f>AM2/(40007860/360)</f>
        <v>#VALUE!</v>
      </c>
      <c r="AP2" s="7" t="e">
        <f>D2+AO2</f>
        <v>#VALUE!</v>
      </c>
      <c r="AQ2" s="7" t="e">
        <f>AN2/( COS(RADIANS(AP2)) * (40075700/360) )</f>
        <v>#VALUE!</v>
      </c>
      <c r="AR2" s="28" t="e">
        <f>C2+AQ2</f>
        <v>#VALUE!</v>
      </c>
      <c r="AS2" s="7" t="e">
        <f>IF(AL2 &lt; 180, AL2 + 180, AL2 - 180)</f>
        <v>#VALUE!</v>
      </c>
      <c r="AT2" s="7" t="e">
        <f>AK2*COS(RADIANS(AS2))</f>
        <v>#VALUE!</v>
      </c>
      <c r="AU2" s="7" t="e">
        <f>AK2*SIN(RADIANS(AS2))</f>
        <v>#VALUE!</v>
      </c>
      <c r="AV2" s="7" t="e">
        <f>AT2/(40007860/360)</f>
        <v>#VALUE!</v>
      </c>
      <c r="AW2" s="7" t="e">
        <f>D2+AV2</f>
        <v>#VALUE!</v>
      </c>
      <c r="AX2" s="7" t="e">
        <f>AU2/( COS(RADIANS(AW2)) * (40075700/360) )</f>
        <v>#VALUE!</v>
      </c>
      <c r="AY2" s="28" t="e">
        <f>C2+AX2</f>
        <v>#VALUE!</v>
      </c>
    </row>
    <row r="3" spans="1:51" x14ac:dyDescent="0.25">
      <c r="A3" s="30">
        <v>2</v>
      </c>
      <c r="B3" s="30"/>
      <c r="C3" s="31">
        <v>-75.604797199999993</v>
      </c>
      <c r="D3" s="32">
        <v>39.611558199999997</v>
      </c>
      <c r="E3" s="30">
        <v>32.200000000000003</v>
      </c>
      <c r="F3" s="30">
        <v>38.700000000000003</v>
      </c>
      <c r="G3" s="30">
        <v>83.657050243111826</v>
      </c>
      <c r="AA3" s="28">
        <f t="shared" ref="AA3:AA8" si="0">$C3-$C2</f>
        <v>7.7978000000058501E-3</v>
      </c>
      <c r="AB3" s="7">
        <f t="shared" ref="AB3:AB8" si="1">$D3-$D2</f>
        <v>2.4029999999441998E-4</v>
      </c>
      <c r="AC3" s="7">
        <f t="shared" ref="AC3:AC8" si="2">40075700/360*COS(RADIANS($D3))*$AA3</f>
        <v>668.7415749389329</v>
      </c>
      <c r="AD3" s="7">
        <f t="shared" ref="AD3:AD8" si="3">40007860/360*$AB3</f>
        <v>26.705246549379876</v>
      </c>
      <c r="AE3" s="7">
        <f t="shared" ref="AE3:AE8" si="4">DEGREES(ATAN(ABS($AC3/$AD3)))</f>
        <v>87.713189356945577</v>
      </c>
      <c r="AF3" s="7">
        <f t="shared" ref="AF3:AF8" si="5">IF(AND(AC3&gt;0,AD3&gt;0), 1, (IF(AND(AC3&gt;0,AD3&lt;0), 2, (IF(AND(AC3&lt;0,AD3&lt;0), 3, (IF(AND(AC3&lt;0,AD3&gt;0), 4, 0)))))))</f>
        <v>1</v>
      </c>
      <c r="AG3" s="7">
        <f t="shared" ref="AG3:AG8" si="6">IF(AF3=1, AE3, IF(AF3=2, 180-AE3, IF(AF3=3, 180+AE3, IF(AF3=4, 360-AE3, 0))))</f>
        <v>87.713189356945577</v>
      </c>
      <c r="AH3" s="7">
        <f t="shared" ref="AH3:AH8" si="7">SQRT(AC3^2 + AD3^2)</f>
        <v>669.27458060579852</v>
      </c>
      <c r="AI3" s="7">
        <f t="shared" ref="AI3:AI8" si="8">AG4-AG3</f>
        <v>-0.17532776689344587</v>
      </c>
      <c r="AK3" s="7">
        <v>21</v>
      </c>
      <c r="AL3" s="7">
        <f t="shared" ref="AL3:AL8" si="9">IF(ABS(AI3)&gt;1, IF(AG3+AI3/2 &gt;= 270, AG3+AI3/2-270, AG3+90+AI3/2), IF(AG3 &gt;= 270, AG3-270, AG3+90))</f>
        <v>177.71318935694558</v>
      </c>
      <c r="AM3" s="7">
        <f t="shared" ref="AM3:AM8" si="10">AK3*COS(RADIANS(AL3))</f>
        <v>-20.983275744621817</v>
      </c>
      <c r="AN3" s="7">
        <f t="shared" ref="AN3:AN8" si="11">AK3*SIN(RADIANS(AL3))</f>
        <v>0.83793736350983627</v>
      </c>
      <c r="AO3" s="7">
        <f t="shared" ref="AO3:AO8" si="12">AM3/(40007860/360)</f>
        <v>-1.8881238006891282E-4</v>
      </c>
      <c r="AP3" s="7">
        <f t="shared" ref="AP3:AP8" si="13">D3+AO3</f>
        <v>39.611369387619931</v>
      </c>
      <c r="AQ3" s="7">
        <f t="shared" ref="AQ3:AQ8" si="14">AN3/( COS(RADIANS(AP3)) * (40075700/360) )</f>
        <v>9.7706653776293027E-6</v>
      </c>
      <c r="AR3" s="28">
        <f t="shared" ref="AR3:AR8" si="15">C3+AQ3</f>
        <v>-75.604787429334621</v>
      </c>
      <c r="AS3" s="7">
        <f t="shared" ref="AS3:AS8" si="16">IF(AL3 &lt; 180, AL3 + 180, AL3 - 180)</f>
        <v>357.71318935694558</v>
      </c>
      <c r="AT3" s="7">
        <f t="shared" ref="AT3:AT8" si="17">AK3*COS(RADIANS(AS3))</f>
        <v>20.983275744621814</v>
      </c>
      <c r="AU3" s="7">
        <f t="shared" ref="AU3:AU8" si="18">AK3*SIN(RADIANS(AS3))</f>
        <v>-0.83793736350984827</v>
      </c>
      <c r="AV3" s="7">
        <f t="shared" ref="AV3:AV8" si="19">AT3/(40007860/360)</f>
        <v>1.8881238006891279E-4</v>
      </c>
      <c r="AW3" s="7">
        <f t="shared" ref="AW3:AW8" si="20">D3+AV3</f>
        <v>39.611747012380064</v>
      </c>
      <c r="AX3" s="7">
        <f t="shared" ref="AX3:AX8" si="21">AU3/( COS(RADIANS(AW3)) * (40075700/360) )</f>
        <v>-9.7707186730413892E-6</v>
      </c>
      <c r="AY3" s="28">
        <f t="shared" ref="AY3:AY8" si="22">C3+AX3</f>
        <v>-75.60480697071867</v>
      </c>
    </row>
    <row r="4" spans="1:51" x14ac:dyDescent="0.25">
      <c r="A4" s="30">
        <v>3</v>
      </c>
      <c r="B4" s="30"/>
      <c r="C4" s="31">
        <v>-75.597145400000002</v>
      </c>
      <c r="D4" s="32">
        <v>39.611812100000002</v>
      </c>
      <c r="E4" s="30">
        <v>32.200000000000003</v>
      </c>
      <c r="F4" s="30">
        <v>38.700000000000003</v>
      </c>
      <c r="G4" s="30">
        <v>83.657050243111826</v>
      </c>
      <c r="AA4" s="28">
        <f t="shared" si="0"/>
        <v>7.6517999999907715E-3</v>
      </c>
      <c r="AB4" s="7">
        <f t="shared" si="1"/>
        <v>2.5390000000413693E-4</v>
      </c>
      <c r="AC4" s="7">
        <f t="shared" si="2"/>
        <v>656.21816619105982</v>
      </c>
      <c r="AD4" s="7">
        <f t="shared" si="3"/>
        <v>28.216654594904192</v>
      </c>
      <c r="AE4" s="7">
        <f t="shared" si="4"/>
        <v>87.537861590052131</v>
      </c>
      <c r="AF4" s="7">
        <f t="shared" si="5"/>
        <v>1</v>
      </c>
      <c r="AG4" s="7">
        <f t="shared" si="6"/>
        <v>87.537861590052131</v>
      </c>
      <c r="AH4" s="7">
        <f t="shared" si="7"/>
        <v>656.82452849728861</v>
      </c>
      <c r="AI4" s="7">
        <f t="shared" si="8"/>
        <v>0.19300091207843195</v>
      </c>
      <c r="AK4" s="7">
        <v>21</v>
      </c>
      <c r="AL4" s="7">
        <f t="shared" si="9"/>
        <v>177.53786159005213</v>
      </c>
      <c r="AM4" s="7">
        <f t="shared" si="10"/>
        <v>-20.980613378644769</v>
      </c>
      <c r="AN4" s="7">
        <f t="shared" si="11"/>
        <v>0.90214314597636236</v>
      </c>
      <c r="AO4" s="7">
        <f t="shared" si="12"/>
        <v>-1.8878842348258861E-4</v>
      </c>
      <c r="AP4" s="7">
        <f t="shared" si="13"/>
        <v>39.611623311576516</v>
      </c>
      <c r="AQ4" s="7">
        <f t="shared" si="14"/>
        <v>1.0519367575689771E-5</v>
      </c>
      <c r="AR4" s="28">
        <f t="shared" si="15"/>
        <v>-75.597134880632424</v>
      </c>
      <c r="AS4" s="7">
        <f t="shared" si="16"/>
        <v>357.5378615900521</v>
      </c>
      <c r="AT4" s="7">
        <f t="shared" si="17"/>
        <v>20.980613378644769</v>
      </c>
      <c r="AU4" s="7">
        <f t="shared" si="18"/>
        <v>-0.90214314597638368</v>
      </c>
      <c r="AV4" s="7">
        <f t="shared" si="19"/>
        <v>1.8878842348258861E-4</v>
      </c>
      <c r="AW4" s="7">
        <f t="shared" si="20"/>
        <v>39.612000888423488</v>
      </c>
      <c r="AX4" s="7">
        <f t="shared" si="21"/>
        <v>-1.0519424948236356E-5</v>
      </c>
      <c r="AY4" s="28">
        <f t="shared" si="22"/>
        <v>-75.597155919424949</v>
      </c>
    </row>
    <row r="5" spans="1:51" x14ac:dyDescent="0.25">
      <c r="A5" s="30">
        <v>4</v>
      </c>
      <c r="B5" s="30"/>
      <c r="C5" s="31">
        <v>-75.590042199999999</v>
      </c>
      <c r="D5" s="32">
        <v>39.612029300000003</v>
      </c>
      <c r="E5" s="30">
        <v>32.200000000000003</v>
      </c>
      <c r="F5" s="30">
        <v>38.700000000000003</v>
      </c>
      <c r="G5" s="30">
        <v>83.657050243111826</v>
      </c>
      <c r="AA5" s="28">
        <f t="shared" si="0"/>
        <v>7.1032000000030848E-3</v>
      </c>
      <c r="AB5" s="7">
        <f t="shared" si="1"/>
        <v>2.1720000000158279E-4</v>
      </c>
      <c r="AC5" s="7">
        <f t="shared" si="2"/>
        <v>609.16833345507359</v>
      </c>
      <c r="AD5" s="7">
        <f t="shared" si="3"/>
        <v>24.138075533509234</v>
      </c>
      <c r="AE5" s="7">
        <f t="shared" si="4"/>
        <v>87.730862502130563</v>
      </c>
      <c r="AF5" s="7">
        <f t="shared" si="5"/>
        <v>1</v>
      </c>
      <c r="AG5" s="7">
        <f t="shared" si="6"/>
        <v>87.730862502130563</v>
      </c>
      <c r="AH5" s="7">
        <f t="shared" si="7"/>
        <v>609.64637715227434</v>
      </c>
      <c r="AI5" s="7">
        <f t="shared" si="8"/>
        <v>0.11428269689466219</v>
      </c>
      <c r="AK5" s="7">
        <v>21</v>
      </c>
      <c r="AL5" s="7">
        <f t="shared" si="9"/>
        <v>177.73086250213055</v>
      </c>
      <c r="AM5" s="7">
        <f t="shared" si="10"/>
        <v>-20.983533212010364</v>
      </c>
      <c r="AN5" s="7">
        <f t="shared" si="11"/>
        <v>0.83146493639719965</v>
      </c>
      <c r="AO5" s="7">
        <f t="shared" si="12"/>
        <v>-1.8881469682016812E-4</v>
      </c>
      <c r="AP5" s="7">
        <f t="shared" si="13"/>
        <v>39.611840485303183</v>
      </c>
      <c r="AQ5" s="7">
        <f t="shared" si="14"/>
        <v>9.6952604129450644E-6</v>
      </c>
      <c r="AR5" s="28">
        <f t="shared" si="15"/>
        <v>-75.590032504739582</v>
      </c>
      <c r="AS5" s="7">
        <f t="shared" si="16"/>
        <v>357.73086250213055</v>
      </c>
      <c r="AT5" s="7">
        <f t="shared" si="17"/>
        <v>20.983533212010364</v>
      </c>
      <c r="AU5" s="7">
        <f t="shared" si="18"/>
        <v>-0.8314649363972022</v>
      </c>
      <c r="AV5" s="7">
        <f t="shared" si="19"/>
        <v>1.8881469682016812E-4</v>
      </c>
      <c r="AW5" s="7">
        <f t="shared" si="20"/>
        <v>39.612218114696823</v>
      </c>
      <c r="AX5" s="7">
        <f t="shared" si="21"/>
        <v>-9.6953132985846729E-6</v>
      </c>
      <c r="AY5" s="28">
        <f t="shared" si="22"/>
        <v>-75.590051895313294</v>
      </c>
    </row>
    <row r="6" spans="1:51" x14ac:dyDescent="0.25">
      <c r="A6" s="30">
        <v>5</v>
      </c>
      <c r="B6" s="30"/>
      <c r="C6" s="31">
        <v>-75.581687099999996</v>
      </c>
      <c r="D6" s="32">
        <v>39.612271900000003</v>
      </c>
      <c r="E6" s="30">
        <v>32.200000000000003</v>
      </c>
      <c r="F6" s="30">
        <v>38.700000000000003</v>
      </c>
      <c r="G6" s="30">
        <v>83.657050243111826</v>
      </c>
      <c r="AA6" s="28">
        <f t="shared" si="0"/>
        <v>8.3551000000028353E-3</v>
      </c>
      <c r="AB6" s="7">
        <f t="shared" si="1"/>
        <v>2.4259999999998172E-4</v>
      </c>
      <c r="AC6" s="7">
        <f t="shared" si="2"/>
        <v>716.52839664753515</v>
      </c>
      <c r="AD6" s="7">
        <f t="shared" si="3"/>
        <v>26.960852322220187</v>
      </c>
      <c r="AE6" s="7">
        <f t="shared" si="4"/>
        <v>87.845145199025225</v>
      </c>
      <c r="AF6" s="7">
        <f t="shared" si="5"/>
        <v>1</v>
      </c>
      <c r="AG6" s="7">
        <f t="shared" si="6"/>
        <v>87.845145199025225</v>
      </c>
      <c r="AH6" s="7">
        <f t="shared" si="7"/>
        <v>717.03544595802794</v>
      </c>
      <c r="AI6" s="7">
        <f t="shared" si="8"/>
        <v>-0.15028401940170966</v>
      </c>
      <c r="AK6" s="7">
        <v>21</v>
      </c>
      <c r="AL6" s="7">
        <f t="shared" si="9"/>
        <v>177.84514519902524</v>
      </c>
      <c r="AM6" s="7">
        <f t="shared" si="10"/>
        <v>-20.985149917510533</v>
      </c>
      <c r="AN6" s="7">
        <f t="shared" si="11"/>
        <v>0.78960935886531392</v>
      </c>
      <c r="AO6" s="7">
        <f t="shared" si="12"/>
        <v>-1.8882924431108767E-4</v>
      </c>
      <c r="AP6" s="7">
        <f t="shared" si="13"/>
        <v>39.612083070755695</v>
      </c>
      <c r="AQ6" s="7">
        <f t="shared" si="14"/>
        <v>9.2072375503317055E-6</v>
      </c>
      <c r="AR6" s="28">
        <f t="shared" si="15"/>
        <v>-75.581677892762443</v>
      </c>
      <c r="AS6" s="7">
        <f t="shared" si="16"/>
        <v>357.84514519902524</v>
      </c>
      <c r="AT6" s="7">
        <f t="shared" si="17"/>
        <v>20.985149917510533</v>
      </c>
      <c r="AU6" s="7">
        <f t="shared" si="18"/>
        <v>-0.78960935886530703</v>
      </c>
      <c r="AV6" s="7">
        <f t="shared" si="19"/>
        <v>1.8882924431108767E-4</v>
      </c>
      <c r="AW6" s="7">
        <f t="shared" si="20"/>
        <v>39.612460729244312</v>
      </c>
      <c r="AX6" s="7">
        <f t="shared" si="21"/>
        <v>-9.2072877782099975E-6</v>
      </c>
      <c r="AY6" s="28">
        <f t="shared" si="22"/>
        <v>-75.581696307287771</v>
      </c>
    </row>
    <row r="7" spans="1:51" x14ac:dyDescent="0.25">
      <c r="A7" s="30">
        <v>6</v>
      </c>
      <c r="B7" s="30"/>
      <c r="C7" s="31">
        <v>-75.571784699999995</v>
      </c>
      <c r="D7" s="32">
        <v>39.612579500000002</v>
      </c>
      <c r="E7" s="30">
        <v>32.200000000000003</v>
      </c>
      <c r="F7" s="30">
        <v>38.700000000000003</v>
      </c>
      <c r="G7" s="30">
        <v>83.657050243111826</v>
      </c>
      <c r="AA7" s="28">
        <f t="shared" si="0"/>
        <v>9.9024000000014212E-3</v>
      </c>
      <c r="AB7" s="7">
        <f t="shared" si="1"/>
        <v>3.0759999999929732E-4</v>
      </c>
      <c r="AC7" s="7">
        <f t="shared" si="2"/>
        <v>849.22014917782201</v>
      </c>
      <c r="AD7" s="7">
        <f t="shared" si="3"/>
        <v>34.184493711033021</v>
      </c>
      <c r="AE7" s="7">
        <f t="shared" si="4"/>
        <v>87.694861179623516</v>
      </c>
      <c r="AF7" s="7">
        <f t="shared" si="5"/>
        <v>1</v>
      </c>
      <c r="AG7" s="7">
        <f t="shared" si="6"/>
        <v>87.694861179623516</v>
      </c>
      <c r="AH7" s="7">
        <f t="shared" si="7"/>
        <v>849.9079017045799</v>
      </c>
      <c r="AI7" s="7">
        <f t="shared" si="8"/>
        <v>3.172921479882973E-2</v>
      </c>
      <c r="AK7" s="7">
        <v>21</v>
      </c>
      <c r="AL7" s="7">
        <f t="shared" si="9"/>
        <v>177.6948611796235</v>
      </c>
      <c r="AM7" s="7">
        <f t="shared" si="10"/>
        <v>-20.983006625737978</v>
      </c>
      <c r="AN7" s="7">
        <f t="shared" si="11"/>
        <v>0.84464959849405441</v>
      </c>
      <c r="AO7" s="7">
        <f t="shared" si="12"/>
        <v>-1.8880995847480152E-4</v>
      </c>
      <c r="AP7" s="7">
        <f t="shared" si="13"/>
        <v>39.612390690041529</v>
      </c>
      <c r="AQ7" s="7">
        <f t="shared" si="14"/>
        <v>9.8490778632835546E-6</v>
      </c>
      <c r="AR7" s="28">
        <f t="shared" si="15"/>
        <v>-75.571774850922125</v>
      </c>
      <c r="AS7" s="7">
        <f t="shared" si="16"/>
        <v>357.6948611796235</v>
      </c>
      <c r="AT7" s="7">
        <f t="shared" si="17"/>
        <v>20.983006625737978</v>
      </c>
      <c r="AU7" s="7">
        <f t="shared" si="18"/>
        <v>-0.84464959849404775</v>
      </c>
      <c r="AV7" s="7">
        <f t="shared" si="19"/>
        <v>1.8880995847480152E-4</v>
      </c>
      <c r="AW7" s="7">
        <f t="shared" si="20"/>
        <v>39.612768309958476</v>
      </c>
      <c r="AX7" s="7">
        <f t="shared" si="21"/>
        <v>-9.84913158766751E-6</v>
      </c>
      <c r="AY7" s="28">
        <f t="shared" si="22"/>
        <v>-75.571794549131582</v>
      </c>
    </row>
    <row r="8" spans="1:51" x14ac:dyDescent="0.25">
      <c r="A8" s="30">
        <v>7</v>
      </c>
      <c r="B8" s="30"/>
      <c r="C8" s="31">
        <v>-75.565615300000005</v>
      </c>
      <c r="D8" s="32">
        <v>39.612768500000001</v>
      </c>
      <c r="E8" s="30">
        <v>32.200000000000003</v>
      </c>
      <c r="F8" s="30">
        <v>38.700000000000003</v>
      </c>
      <c r="G8" s="30">
        <v>83.657050243111826</v>
      </c>
      <c r="AA8" s="28">
        <f t="shared" si="0"/>
        <v>6.1693999999903326E-3</v>
      </c>
      <c r="AB8" s="7">
        <f t="shared" si="1"/>
        <v>1.889999999988845E-4</v>
      </c>
      <c r="AC8" s="7">
        <f t="shared" si="2"/>
        <v>529.08027192578038</v>
      </c>
      <c r="AD8" s="7">
        <f t="shared" si="3"/>
        <v>21.00412649987603</v>
      </c>
      <c r="AE8" s="7">
        <f t="shared" si="4"/>
        <v>87.726590394422345</v>
      </c>
      <c r="AF8" s="7">
        <f t="shared" si="5"/>
        <v>1</v>
      </c>
      <c r="AG8" s="7">
        <f t="shared" si="6"/>
        <v>87.726590394422345</v>
      </c>
      <c r="AH8" s="7">
        <f t="shared" si="7"/>
        <v>529.49703254228018</v>
      </c>
      <c r="AI8" s="7">
        <f t="shared" si="8"/>
        <v>-87.726590394422345</v>
      </c>
      <c r="AK8" s="7">
        <v>21</v>
      </c>
      <c r="AL8" s="7">
        <f t="shared" si="9"/>
        <v>133.86329519721119</v>
      </c>
      <c r="AM8" s="7">
        <f t="shared" si="10"/>
        <v>-14.551741823123896</v>
      </c>
      <c r="AN8" s="7">
        <f t="shared" si="11"/>
        <v>15.140898583411317</v>
      </c>
      <c r="AO8" s="7">
        <f t="shared" si="12"/>
        <v>-1.3093994670858682E-4</v>
      </c>
      <c r="AP8" s="7">
        <f t="shared" si="13"/>
        <v>39.612637560053294</v>
      </c>
      <c r="AQ8" s="7">
        <f t="shared" si="14"/>
        <v>1.7655181641925601E-4</v>
      </c>
      <c r="AR8" s="28">
        <f t="shared" si="15"/>
        <v>-75.565438748183581</v>
      </c>
      <c r="AS8" s="7">
        <f t="shared" si="16"/>
        <v>313.86329519721119</v>
      </c>
      <c r="AT8" s="7">
        <f t="shared" si="17"/>
        <v>14.551741823123894</v>
      </c>
      <c r="AU8" s="7">
        <f t="shared" si="18"/>
        <v>-15.140898583411319</v>
      </c>
      <c r="AV8" s="7">
        <f t="shared" si="19"/>
        <v>1.3093994670858682E-4</v>
      </c>
      <c r="AW8" s="7">
        <f t="shared" si="20"/>
        <v>39.612899439946709</v>
      </c>
      <c r="AX8" s="7">
        <f t="shared" si="21"/>
        <v>-1.765524842983983E-4</v>
      </c>
      <c r="AY8" s="28">
        <f t="shared" si="22"/>
        <v>-75.56579185248431</v>
      </c>
    </row>
  </sheetData>
  <dataConsolidate/>
  <printOptions horizontalCentered="1"/>
  <pageMargins left="0.7" right="0.7" top="0.75" bottom="0.75" header="0.3" footer="0.3"/>
  <pageSetup paperSize="9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19"/>
  <sheetViews>
    <sheetView workbookViewId="0"/>
  </sheetViews>
  <sheetFormatPr defaultRowHeight="15" x14ac:dyDescent="0.25"/>
  <cols>
    <col min="1" max="4" width="15.7109375" customWidth="1"/>
  </cols>
  <sheetData>
    <row r="1" spans="1:4" ht="30" x14ac:dyDescent="0.25">
      <c r="A1" s="18" t="s">
        <v>12</v>
      </c>
      <c r="B1" s="18" t="s">
        <v>14</v>
      </c>
      <c r="C1" s="18" t="s">
        <v>13</v>
      </c>
      <c r="D1" s="18" t="s">
        <v>16</v>
      </c>
    </row>
    <row r="2" spans="1:4" x14ac:dyDescent="0.25">
      <c r="A2" s="32">
        <v>1</v>
      </c>
      <c r="B2" s="32">
        <v>39.611121547665263</v>
      </c>
      <c r="C2" s="32">
        <v>-75.612829901394988</v>
      </c>
      <c r="D2" s="32">
        <v>83.657050243111826</v>
      </c>
    </row>
    <row r="3" spans="1:4" x14ac:dyDescent="0.25">
      <c r="A3" s="32">
        <v>1</v>
      </c>
      <c r="B3" s="32">
        <v>39.611129087619936</v>
      </c>
      <c r="C3" s="32">
        <v>-75.612585229368534</v>
      </c>
      <c r="D3" s="32">
        <v>83.657050243111826</v>
      </c>
    </row>
    <row r="4" spans="1:4" x14ac:dyDescent="0.25">
      <c r="A4" s="32">
        <v>2</v>
      </c>
      <c r="B4" s="32">
        <v>39.611369387619931</v>
      </c>
      <c r="C4" s="32">
        <v>-75.604787429334621</v>
      </c>
      <c r="D4" s="32">
        <v>83.657050243111826</v>
      </c>
    </row>
    <row r="5" spans="1:4" x14ac:dyDescent="0.25">
      <c r="A5" s="32">
        <v>3</v>
      </c>
      <c r="B5" s="32">
        <v>39.611623311576516</v>
      </c>
      <c r="C5" s="32">
        <v>-75.597134880632424</v>
      </c>
      <c r="D5" s="32">
        <v>83.657050243111826</v>
      </c>
    </row>
    <row r="6" spans="1:4" x14ac:dyDescent="0.25">
      <c r="A6" s="32">
        <v>4</v>
      </c>
      <c r="B6" s="32">
        <v>39.611840485303183</v>
      </c>
      <c r="C6" s="32">
        <v>-75.590032504739582</v>
      </c>
      <c r="D6" s="32">
        <v>83.657050243111826</v>
      </c>
    </row>
    <row r="7" spans="1:4" x14ac:dyDescent="0.25">
      <c r="A7" s="32">
        <v>5</v>
      </c>
      <c r="B7" s="32">
        <v>39.612083070755695</v>
      </c>
      <c r="C7" s="32">
        <v>-75.581677892762443</v>
      </c>
      <c r="D7" s="32">
        <v>83.657050243111826</v>
      </c>
    </row>
    <row r="8" spans="1:4" x14ac:dyDescent="0.25">
      <c r="A8" s="32">
        <v>6</v>
      </c>
      <c r="B8" s="32">
        <v>39.612390690041529</v>
      </c>
      <c r="C8" s="32">
        <v>-75.571774850922125</v>
      </c>
      <c r="D8" s="32">
        <v>83.657050243111826</v>
      </c>
    </row>
    <row r="9" spans="1:4" x14ac:dyDescent="0.25">
      <c r="A9" s="32">
        <v>7</v>
      </c>
      <c r="B9" s="32">
        <v>39.612579685861562</v>
      </c>
      <c r="C9" s="32">
        <v>-75.565605586392167</v>
      </c>
      <c r="D9" s="32">
        <v>83.657050243111826</v>
      </c>
    </row>
    <row r="10" spans="1:4" x14ac:dyDescent="0.25">
      <c r="A10" s="32">
        <v>7</v>
      </c>
      <c r="B10" s="32">
        <v>39.612587181654277</v>
      </c>
      <c r="C10" s="32">
        <v>-75.565360906907173</v>
      </c>
      <c r="D10" s="32">
        <v>83.657050243111826</v>
      </c>
    </row>
    <row r="11" spans="1:4" x14ac:dyDescent="0.25">
      <c r="A11" s="32">
        <v>7</v>
      </c>
      <c r="B11" s="32">
        <v>39.612964809931157</v>
      </c>
      <c r="C11" s="32">
        <v>-75.565380332843233</v>
      </c>
      <c r="D11" s="32">
        <v>83.657050243111826</v>
      </c>
    </row>
    <row r="12" spans="1:4" x14ac:dyDescent="0.25">
      <c r="A12" s="32">
        <v>7</v>
      </c>
      <c r="B12" s="32">
        <v>39.612957314138441</v>
      </c>
      <c r="C12" s="32">
        <v>-75.565625013660835</v>
      </c>
      <c r="D12" s="32">
        <v>83.657050243111826</v>
      </c>
    </row>
    <row r="13" spans="1:4" x14ac:dyDescent="0.25">
      <c r="A13" s="32">
        <v>6</v>
      </c>
      <c r="B13" s="32">
        <v>39.612768309958476</v>
      </c>
      <c r="C13" s="32">
        <v>-75.571794549131582</v>
      </c>
      <c r="D13" s="32">
        <v>83.657050243111826</v>
      </c>
    </row>
    <row r="14" spans="1:4" x14ac:dyDescent="0.25">
      <c r="A14" s="32">
        <v>5</v>
      </c>
      <c r="B14" s="32">
        <v>39.612460729244312</v>
      </c>
      <c r="C14" s="32">
        <v>-75.581696307287771</v>
      </c>
      <c r="D14" s="32">
        <v>83.657050243111826</v>
      </c>
    </row>
    <row r="15" spans="1:4" x14ac:dyDescent="0.25">
      <c r="A15" s="32">
        <v>4</v>
      </c>
      <c r="B15" s="32">
        <v>39.612218114696823</v>
      </c>
      <c r="C15" s="32">
        <v>-75.590051895313294</v>
      </c>
      <c r="D15" s="32">
        <v>83.657050243111826</v>
      </c>
    </row>
    <row r="16" spans="1:4" x14ac:dyDescent="0.25">
      <c r="A16" s="32">
        <v>3</v>
      </c>
      <c r="B16" s="32">
        <v>39.612000888423488</v>
      </c>
      <c r="C16" s="32">
        <v>-75.597155919424949</v>
      </c>
      <c r="D16" s="32">
        <v>83.657050243111826</v>
      </c>
    </row>
    <row r="17" spans="1:4" x14ac:dyDescent="0.25">
      <c r="A17" s="32">
        <v>2</v>
      </c>
      <c r="B17" s="32">
        <v>39.611747012380064</v>
      </c>
      <c r="C17" s="32">
        <v>-75.60480697071867</v>
      </c>
      <c r="D17" s="32">
        <v>83.657050243111826</v>
      </c>
    </row>
    <row r="18" spans="1:4" x14ac:dyDescent="0.25">
      <c r="A18" s="32">
        <v>1</v>
      </c>
      <c r="B18" s="32">
        <v>39.61150671238007</v>
      </c>
      <c r="C18" s="32">
        <v>-75.612604770684754</v>
      </c>
      <c r="D18" s="32">
        <v>83.657050243111826</v>
      </c>
    </row>
    <row r="19" spans="1:4" x14ac:dyDescent="0.25">
      <c r="A19" s="32">
        <v>1</v>
      </c>
      <c r="B19" s="32">
        <v>39.611499172425404</v>
      </c>
      <c r="C19" s="32">
        <v>-75.612849444043661</v>
      </c>
      <c r="D19" s="32">
        <v>83.657050243111826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PowerLine Base (EU)</vt:lpstr>
      <vt:lpstr>PowerLine Base (RU)</vt:lpstr>
      <vt:lpstr>Permissible distance</vt:lpstr>
      <vt:lpstr>Fenced off area</vt:lpstr>
      <vt:lpstr>Camera</vt:lpstr>
      <vt:lpstr>Input format</vt:lpstr>
      <vt:lpstr>GIS</vt:lpstr>
      <vt:lpstr>Aerophotography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2016-07-08T19:35:12Z</dcterms:modified>
</cp:coreProperties>
</file>